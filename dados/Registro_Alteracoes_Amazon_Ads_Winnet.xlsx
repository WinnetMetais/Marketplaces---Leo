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<sst xmlns="http://schemas.openxmlformats.org/spreadsheetml/2006/main" count="2370" uniqueCount="651">
  <si>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</si>
  <si>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</si>
  <si>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</si>
  <si>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</si>
  <si>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</si>
  <si>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</si>
  <si>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</si>
  <si>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</si>
  <si>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</si>
  <si>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</si>
  <si>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</si>
  <si>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</si>
  <si>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</si>
  <si>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</si>
  <si>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</si>
  <si>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</si>
  <si>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</si>
  <si>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</si>
  <si>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</si>
  <si>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</si>
  <si>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</si>
  <si>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</si>
  <si>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</si>
  <si>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</si>
  <si>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</si>
  <si>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</si>
  <si>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</si>
  <si>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</si>
  <si>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</si>
  <si>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</si>
  <si>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</si>
  <si>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</si>
  <si>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</si>
  <si>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</si>
  <si>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</si>
  <si>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</si>
  <si>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</si>
  <si>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</si>
  <si>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</si>
  <si>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</si>
  <si>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</si>
  <si>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</si>
  <si>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</si>
  <si>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</si>
  <si>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</si>
  <si>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</si>
  <si>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</si>
  <si>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</si>
  <si>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</si>
  <si>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</si>
  <si>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</si>
  <si>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</si>
  <si>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</si>
  <si>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</si>
  <si>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</si>
  <si>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</si>
  <si>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</si>
  <si>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</si>
  <si>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</si>
  <si>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</si>
  <si>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</si>
  <si>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</si>
  <si>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</si>
  <si>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</si>
  <si>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</si>
  <si>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</si>
  <si>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</si>
  <si>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</si>
  <si>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</si>
  <si>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</si>
  <si>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</si>
  <si>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</si>
  <si>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</si>
  <si>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</si>
  <si>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</si>
  <si>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</si>
  <si>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</si>
  <si>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</si>
  <si>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</si>
  <si>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</si>
  <si>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</si>
  <si>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</si>
  <si>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</si>
  <si>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</si>
  <si>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</si>
  <si>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</si>
  <si>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</si>
  <si>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</si>
  <si>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</si>
  <si>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</si>
  <si>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</si>
  <si>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</si>
  <si>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</si>
  <si>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</si>
  <si>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</si>
  <si>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</si>
  <si>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</si>
  <si>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</si>
  <si>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</si>
  <si>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</si>
  <si>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</si>
  <si>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</si>
  <si>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</si>
  <si>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</si>
  <si>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</si>
  <si>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</si>
  <si>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</si>
  <si>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</si>
  <si>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</si>
  <si>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</si>
  <si>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</si>
  <si>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</si>
  <si>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</si>
  <si>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</si>
  <si>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</si>
  <si>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</si>
  <si>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</si>
  <si>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</si>
  <si>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</si>
  <si>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</si>
  <si>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</si>
  <si>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</si>
  <si>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</si>
  <si>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</si>
  <si>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</si>
  <si>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</si>
  <si>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</si>
  <si>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</si>
  <si>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</si>
  <si>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</si>
  <si>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</si>
  <si>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</si>
  <si>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</si>
  <si>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</si>
  <si>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</si>
  <si>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</si>
  <si>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</si>
  <si>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</si>
  <si>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</si>
  <si>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</si>
  <si>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</si>
  <si>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</si>
  <si>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</si>
  <si>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</si>
  <si>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</si>
  <si>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</si>
  <si>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</si>
  <si>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</si>
  <si>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</si>
  <si>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</si>
  <si>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</si>
  <si>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</si>
  <si>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</si>
  <si>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</si>
  <si>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</si>
  <si>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</si>
  <si>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</si>
  <si>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</si>
  <si>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</si>
  <si>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</si>
  <si>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</si>
  <si>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</si>
  <si>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</si>
  <si>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</si>
  <si>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</si>
  <si>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</si>
  <si>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</si>
  <si>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</si>
  <si>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</si>
  <si>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</si>
  <si>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</si>
  <si>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</si>
  <si>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</si>
  <si>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</si>
  <si>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</si>
  <si>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</si>
  <si>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</si>
  <si>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</si>
  <si>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</si>
  <si>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</si>
  <si>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</si>
  <si>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</si>
  <si>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</si>
  <si>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</si>
  <si>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</si>
  <si>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</si>
  <si>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</si>
  <si>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</si>
  <si>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</si>
  <si>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</si>
  <si>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</si>
  <si>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</si>
  <si>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</si>
  <si>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</si>
  <si>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</si>
  <si>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</si>
  <si>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</si>
  <si>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</si>
  <si>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</si>
  <si>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</si>
  <si>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</si>
  <si>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</si>
  <si>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</si>
  <si>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</si>
  <si>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</si>
  <si>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</si>
  <si>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</si>
  <si>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</si>
  <si>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</si>
  <si>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</si>
  <si>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</si>
  <si>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</si>
  <si>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</si>
  <si>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</si>
  <si>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</si>
  <si>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</si>
  <si>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</si>
  <si>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</si>
  <si>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</si>
  <si>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</si>
  <si>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</si>
  <si>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</si>
  <si>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</si>
  <si>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</si>
  <si>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</si>
  <si>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</si>
  <si>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</si>
  <si>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</si>
  <si>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</si>
  <si>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</si>
  <si>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</si>
  <si>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</si>
  <si>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</si>
  <si>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</si>
  <si>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</si>
  <si>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</si>
  <si>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</si>
  <si>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</si>
  <si>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</si>
  <si>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</si>
  <si>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</si>
  <si>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</si>
  <si>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</si>
  <si>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</si>
  <si>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</si>
  <si>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</si>
  <si>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</si>
  <si>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</si>
  <si>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</si>
  <si>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</si>
  <si>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</si>
  <si>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</si>
  <si>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</si>
  <si>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</si>
  <si>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</si>
  <si>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</si>
  <si>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</si>
  <si>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</si>
  <si>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</si>
  <si>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</si>
  <si>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</si>
  <si>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</si>
  <si>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</si>
  <si>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</si>
  <si>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</si>
  <si>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</si>
  <si>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</si>
  <si>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</si>
  <si>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</si>
  <si>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</si>
  <si>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</si>
  <si>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</si>
  <si>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</si>
  <si>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</si>
  <si>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</si>
  <si>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</si>
  <si>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</si>
  <si>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</si>
  <si>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</si>
  <si>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</si>
  <si>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</si>
  <si>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</si>
  <si>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</si>
  <si>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</si>
  <si>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</si>
  <si>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</si>
  <si>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</si>
  <si>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</si>
  <si>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</si>
  <si>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</si>
  <si>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</si>
  <si>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</si>
  <si>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</si>
  <si>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</si>
  <si>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</si>
  <si>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</si>
  <si>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</si>
  <si>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</si>
  <si>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</si>
  <si>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</si>
  <si>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</si>
  <si>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</si>
  <si>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</si>
  <si>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</si>
  <si>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</si>
  <si>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</si>
  <si>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</si>
  <si>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</si>
  <si>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</si>
  <si>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</si>
  <si>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</si>
  <si>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</si>
  <si>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</si>
  <si>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</si>
  <si>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</si>
  <si>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</si>
  <si>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</si>
  <si>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</si>
  <si>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</si>
  <si>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</si>
  <si>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</si>
  <si>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</si>
  <si>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</si>
  <si>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</si>
  <si>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</si>
  <si>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</si>
  <si>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</si>
  <si>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</si>
  <si>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</si>
  <si>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</si>
  <si>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</si>
  <si>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</si>
  <si>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</si>
  <si>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</si>
  <si>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</si>
  <si>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</si>
  <si>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</si>
  <si>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</si>
  <si>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</si>
  <si>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</si>
  <si>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</si>
  <si>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</si>
  <si>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</si>
  <si>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</si>
  <si>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</si>
  <si>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</si>
  <si>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</si>
  <si>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</si>
  <si>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</si>
  <si>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</si>
  <si>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</si>
  <si>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</si>
  <si>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</si>
  <si>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</si>
  <si>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</si>
  <si>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</si>
  <si>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</si>
  <si>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</si>
  <si>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</si>
  <si>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</si>
  <si>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</si>
  <si>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</si>
  <si>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</si>
  <si>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</si>
  <si>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</si>
  <si>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</si>
  <si>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</si>
  <si>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</si>
  <si>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</si>
  <si>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</si>
  <si>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</si>
  <si>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</si>
  <si>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</si>
  <si>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</si>
  <si>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</si>
  <si>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</si>
  <si>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</si>
  <si>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</si>
  <si>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</si>
  <si>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</si>
  <si>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</si>
  <si>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</si>
  <si>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</si>
  <si>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</si>
  <si>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</si>
  <si>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</si>
  <si>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</si>
  <si>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</si>
  <si>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</si>
  <si>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</si>
  <si>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</si>
  <si>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</si>
  <si>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</si>
  <si>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</si>
  <si>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</si>
  <si>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</si>
  <si>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</si>
  <si>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</si>
  <si>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</si>
  <si>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</si>
  <si>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</si>
  <si>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</si>
  <si>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</si>
  <si>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</si>
  <si>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</si>
  <si>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</si>
  <si>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</si>
  <si>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</si>
  <si>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</si>
  <si>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</si>
  <si>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</si>
  <si>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</si>
  <si>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</si>
  <si>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</si>
  <si>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</si>
  <si>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</si>
  <si>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</si>
  <si>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</si>
  <si>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</si>
  <si>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</si>
  <si>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</si>
  <si>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</si>
  <si>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</si>
  <si>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</si>
  <si>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</si>
  <si>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</si>
  <si>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</si>
  <si>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</si>
  <si>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</si>
  <si>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</si>
  <si>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</si>
  <si>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</si>
  <si>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</si>
  <si>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</si>
  <si>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</si>
  <si>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</si>
  <si>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</si>
  <si>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</si>
  <si>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</si>
  <si>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</si>
  <si>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</si>
  <si>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</si>
  <si>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</si>
  <si>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</si>
  <si>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</si>
  <si>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</si>
  <si>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</si>
  <si>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</si>
  <si>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</si>
  <si>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</si>
  <si>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</si>
  <si>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</si>
  <si>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</si>
  <si>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</si>
  <si>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</si>
  <si>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</si>
  <si>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</si>
  <si>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</si>
  <si>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</si>
  <si>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</si>
  <si>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</si>
  <si>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</si>
  <si>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</si>
  <si>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</si>
  <si>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</si>
  <si>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</si>
  <si>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</si>
  <si>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</si>
  <si>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</si>
  <si>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</si>
  <si>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</si>
  <si>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</si>
  <si>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</si>
  <si>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</si>
  <si>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</si>
  <si>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</si>
  <si>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</si>
  <si>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</si>
  <si>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</si>
  <si>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</si>
  <si>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</si>
  <si>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</si>
  <si>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</si>
  <si>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</si>
  <si>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</si>
  <si>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</si>
  <si>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</si>
  <si>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</si>
  <si>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</si>
  <si>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</si>
  <si>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</si>
  <si>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</si>
  <si>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</si>
  <si>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</si>
  <si>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</si>
  <si>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</si>
  <si>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</si>
  <si>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</si>
  <si>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</si>
  <si>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</si>
  <si>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</si>
  <si>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</si>
  <si>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</si>
  <si>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</si>
  <si>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</si>
  <si>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</si>
  <si>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</si>
  <si>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</si>
  <si>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</si>
  <si>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</si>
  <si>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</si>
  <si>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</si>
  <si>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</si>
  <si>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</si>
  <si>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</si>
  <si>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</si>
  <si>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</si>
  <si>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</si>
  <si>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</si>
  <si>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</si>
  <si>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</si>
  <si>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</si>
  <si>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</si>
  <si>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</si>
  <si>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</si>
  <si>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</si>
  <si>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</si>
  <si>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</si>
  <si>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</si>
  <si>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</si>
  <si>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</si>
  <si>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</si>
  <si>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</si>
  <si>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</si>
  <si>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</si>
  <si>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</si>
  <si>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</si>
  <si>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</si>
  <si>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</si>
  <si>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</si>
  <si>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</si>
  <si>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</si>
  <si>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</si>
  <si>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</si>
  <si>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</si>
  <si>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</si>
  <si>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</si>
  <si>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</si>
  <si>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</si>
  <si>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</si>
  <si>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</si>
  <si>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</si>
  <si>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</si>
  <si>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</si>
  <si>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</si>
  <si>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</si>
  <si>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</si>
  <si>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</si>
  <si>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</si>
  <si>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</si>
  <si>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</si>
  <si>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</si>
  <si>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</si>
  <si>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</si>
  <si>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</si>
  <si>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</si>
  <si>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</si>
  <si>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</si>
  <si>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</si>
  <si>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</si>
  <si>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</si>
  <si>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</si>
  <si>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</si>
  <si>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</si>
  <si>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</si>
  <si>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</si>
  <si>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</si>
  <si>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</si>
  <si>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</si>
  <si>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</si>
  <si>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</si>
  <si>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</si>
  <si>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</si>
  <si>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</si>
  <si>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</si>
  <si>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</si>
  <si>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</si>
  <si>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</si>
  <si>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</si>
  <si>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</si>
  <si>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</si>
  <si>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</si>
  <si>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</si>
  <si>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</si>
  <si>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</si>
  <si>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</si>
  <si>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</si>
  <si>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</si>
  <si>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</si>
  <si>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</si>
  <si>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</si>
  <si>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</si>
  <si>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</si>
  <si>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</si>
  <si>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</si>
  <si>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</si>
  <si>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</si>
  <si>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</si>
  <si>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</si>
  <si>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</si>
  <si>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</si>
  <si>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</si>
  <si>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</si>
  <si>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</si>
  <si>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</si>
  <si>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</si>
  <si>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</si>
  <si>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</si>
  <si>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</si>
  <si>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</si>
  <si>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</si>
  <si>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</si>
  <si>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</si>
  <si>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</si>
  <si>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</si>
  <si>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</si>
  <si>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</si>
  <si>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</si>
  <si>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</si>
  <si>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</si>
  <si>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</si>
  <si>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</si>
  <si>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</si>
  <si>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</si>
  <si>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</si>
  <si>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</si>
  <si>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</si>
  <si>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</si>
  <si>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EC-017</t>
  </si>
  <si>
    <t>L1618-T (B0H3QQLFFY) — desconto 5% (mínimo do evento)</t>
  </si>
  <si>
    <t>Sem oferta inscrita; preço de tabela R$ 116,00</t>
  </si>
  <si>
    <t>Melhor Oferta −5% → R$ 110,20 · Prime Big Deal Days 05–11/10</t>
  </si>
  <si>
    <t>Entrou na lista de recomendações de 28/09 (não estava em 22/09). Converteu 2 un a −5% com desconto no preço em 21–27/09 (27 sessões) — única lixeira que converteu com desconto; no 9.9 com oferta: 0. Margem SP Interior 15,3% — no piso. Se a promo de quantidade empilhasse (3+): 12,1%; no 9.9 a Melhor …</t>
  </si>
  <si>
    <t>ciclos/Monitoramento-28-09.md + relatorios/amazon/monitoramento-28-09/ (lista do Prime Day de 28/09) + Simulador Mestra v4.3.4</t>
  </si>
  <si>
    <t>Não empilha com desconto no preço (nenhum ativo). Conferir preço de referência na tela. Leitura na O7 (13/10) junto com P3070 e PXP; o evento contamina a leitura de Ads do SKU na Geral em 05–11/10.</t>
  </si>
  <si>
    <t>Motor de tráfego da Geral: em 05–11/10 a atribuição do SKU sai a preço da oferta (R$ 126,26). Marcar na O7.</t>
  </si>
  <si>
    <t>Entrou na lista de recomendações de 28/09. Maior tráfego do catálogo; 0 conversão a −5% com desconto no preço (26 sessões, 21–27/09) e 0 com oferta no 9.9 — vende orgânico e por promo de quantidade. Teste do selo do evento. Margem SP Interior 16,5%; a 10% cairia a 13,1% (por isso 5%).</t>
  </si>
  <si>
    <t>Melhor Oferta −5% → R$ 126,26 · Prime Big Deal Days 05–11/10</t>
  </si>
  <si>
    <t>Sem oferta inscrita; preço de tabela R$ 132,90</t>
  </si>
  <si>
    <t>L2025-T (B0H6C5CTSC) — desconto 5% (mínimo do evento)</t>
  </si>
  <si>
    <t>EC-018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</si>
</sst>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42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A64" workbookViewId="0">
      <selection activeCell="B86" sqref="B86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COUNTIF(A11:A210,"&lt;&gt;")</f>
        <v>74</v>
      </c>
      <c r="B6" s="3">
        <f>COUNTIF(N11:N210,"SIM")</f>
        <v>74</v>
      </c>
      <c r="C6" s="3">
        <f>COUNTIF(O11:O210,"SIM")</f>
        <v>68</v>
      </c>
      <c r="D6" s="3">
        <f>COUNTIF(P11:P210,"BLOQUEADA*")</f>
        <v>0</v>
      </c>
      <c r="E6" s="3">
        <f>COUNTIF(P11:P210,"EXECUTADA - EM MATURAÇÃO")</f>
        <v>20</v>
      </c>
      <c r="F6" s="4">
        <f>COUNTIF(P11:P210,"EXECUTADA - AVALIADA")</f>
        <v>48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42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42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34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34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34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34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34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34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34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34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34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34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34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34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34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34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34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34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34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31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28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26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26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24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24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19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19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19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19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19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19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19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19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19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19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19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19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19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19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19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19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10</v>
      </c>
      <c r="S53" t="s">
        <v>620</v>
      </c>
      <c r="T53" t="s">
        <v>621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10</v>
      </c>
      <c r="S54" t="s">
        <v>622</v>
      </c>
      <c r="T54" t="s">
        <v>623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10</v>
      </c>
      <c r="S55" t="s">
        <v>624</v>
      </c>
      <c r="T55" t="s">
        <v>625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10</v>
      </c>
      <c r="S56" t="s">
        <v>626</v>
      </c>
      <c r="T56" t="s">
        <v>627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10</v>
      </c>
      <c r="S57" t="s">
        <v>628</v>
      </c>
      <c r="T57" t="s">
        <v>629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10</v>
      </c>
      <c r="S58" t="s">
        <v>630</v>
      </c>
      <c r="T58" t="s">
        <v>631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10</v>
      </c>
      <c r="S59" t="s">
        <v>632</v>
      </c>
      <c r="T59" t="s">
        <v>633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10</v>
      </c>
      <c r="S60" t="s">
        <v>634</v>
      </c>
      <c r="T60" t="s">
        <v>635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10</v>
      </c>
      <c r="S61" t="s">
        <v>634</v>
      </c>
      <c r="T61" t="s">
        <v>635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10</v>
      </c>
      <c r="S62" t="s">
        <v>636</v>
      </c>
      <c r="T62" t="s">
        <v>637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6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6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6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6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6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6</v>
      </c>
      <c r="U68" s="50">
        <v>46293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6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6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6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6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619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619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6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619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619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619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6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6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6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6</v>
      </c>
      <c r="U82" t="s">
        <v>469</v>
      </c>
      <c r="V82" t="s">
        <v>583</v>
      </c>
    </row>
    <row r="83" spans="1:22">
      <c r="A83" s="10" t="s">
        <v>638</v>
      </c>
      <c r="B83" s="11" t="s">
        <v>215</v>
      </c>
      <c r="C83" s="12">
        <v>46293</v>
      </c>
      <c r="D83" s="12">
        <v>46293</v>
      </c>
      <c r="E83" s="12">
        <v>46293</v>
      </c>
      <c r="F83" s="43" t="s">
        <v>527</v>
      </c>
      <c r="G83" s="43" t="s">
        <v>639</v>
      </c>
      <c r="H83" s="11" t="s">
        <v>529</v>
      </c>
      <c r="I83" s="11" t="s">
        <v>640</v>
      </c>
      <c r="J83" s="11" t="s">
        <v>641</v>
      </c>
      <c r="K83" s="11" t="s">
        <v>642</v>
      </c>
      <c r="L83" s="11" t="s">
        <v>643</v>
      </c>
      <c r="M83" s="11" t="s">
        <v>45</v>
      </c>
      <c r="N83" s="11" t="s">
        <v>40</v>
      </c>
      <c r="O83" s="11" t="s">
        <v>40</v>
      </c>
      <c r="P83" s="46" t="s">
        <v>47</v>
      </c>
      <c r="Q83" s="18">
        <f t="shared" ref="Q83:Q106" si="4">IF(E83="","",E83+1)</f>
        <v>46294</v>
      </c>
      <c r="R83" s="19">
        <f t="shared" ref="R83:R106" ca="1" si="5">IF(E83="","",TODAY()-E83)</f>
        <v>0</v>
      </c>
      <c r="S83" s="43"/>
      <c r="T83" s="43"/>
      <c r="U83" t="s">
        <v>469</v>
      </c>
      <c r="V83" s="41" t="s">
        <v>644</v>
      </c>
    </row>
    <row r="84" spans="1:22">
      <c r="A84" s="10" t="s">
        <v>650</v>
      </c>
      <c r="B84" s="11" t="s">
        <v>215</v>
      </c>
      <c r="C84" s="12">
        <v>46293</v>
      </c>
      <c r="D84" s="12">
        <v>46293</v>
      </c>
      <c r="E84" s="12">
        <v>46293</v>
      </c>
      <c r="F84" s="43" t="s">
        <v>527</v>
      </c>
      <c r="G84" s="43" t="s">
        <v>649</v>
      </c>
      <c r="H84" s="11" t="s">
        <v>529</v>
      </c>
      <c r="I84" s="11" t="s">
        <v>648</v>
      </c>
      <c r="J84" s="11" t="s">
        <v>647</v>
      </c>
      <c r="K84" s="11" t="s">
        <v>646</v>
      </c>
      <c r="L84" s="11" t="s">
        <v>643</v>
      </c>
      <c r="M84" s="11" t="s">
        <v>49</v>
      </c>
      <c r="N84" s="11" t="s">
        <v>40</v>
      </c>
      <c r="O84" s="11" t="s">
        <v>40</v>
      </c>
      <c r="P84" s="11" t="s">
        <v>47</v>
      </c>
      <c r="Q84" s="18">
        <f t="shared" si="4"/>
        <v>46294</v>
      </c>
      <c r="R84" s="19">
        <f t="shared" ca="1" si="5"/>
        <v>0</v>
      </c>
      <c r="S84" s="43"/>
      <c r="T84" s="43"/>
      <c r="U84" t="s">
        <v>469</v>
      </c>
      <c r="V84" s="41" t="s">
        <v>645</v>
      </c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41" priority="1">
      <formula>P11="RECOMENDADA"</formula>
    </cfRule>
    <cfRule type="expression" dxfId="40" priority="2">
      <formula>P11="APROVADA - AGUARDANDO EXECUÇÃO"</formula>
    </cfRule>
    <cfRule type="expression" dxfId="39" priority="3">
      <formula>P11="EXECUTADA - EM MATURAÇÃO"</formula>
    </cfRule>
    <cfRule type="expression" dxfId="38" priority="4">
      <formula>P11="EXECUTADA - AVALIADA"</formula>
    </cfRule>
    <cfRule type="expression" dxfId="37" priority="5">
      <formula>P11="APROVADA - NÃO EXECUTADA"</formula>
    </cfRule>
    <cfRule type="expression" dxfId="36" priority="6">
      <formula>P11="REJEITADA"</formula>
    </cfRule>
    <cfRule type="expression" dxfId="35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2026-09-28T15:24:15Z</dcterms:modified>
</cp:coreProperties>
</file>