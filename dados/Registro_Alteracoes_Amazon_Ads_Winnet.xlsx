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R87" i="1" l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08" i="1" l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<sst xmlns="http://schemas.openxmlformats.org/spreadsheetml/2006/main" count="1558" uniqueCount="801">
  <si>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</si>
  <si>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</si>
  <si>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</si>
  <si>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</si>
  <si>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</si>
  <si>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</si>
  <si>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</si>
  <si>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</si>
  <si>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</si>
  <si>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</si>
  <si>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</si>
  <si>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</si>
  <si>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</si>
  <si>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</si>
  <si>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</si>
  <si>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</si>
  <si>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</si>
  <si>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</si>
  <si>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</si>
  <si>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</si>
  <si>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</si>
  <si>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</si>
  <si>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</si>
  <si>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</si>
  <si>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</si>
  <si>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</si>
  <si>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</si>
  <si>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</si>
  <si>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</si>
  <si>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</si>
  <si>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</si>
  <si>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</si>
  <si>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</si>
  <si>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</si>
  <si>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</si>
  <si>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</si>
  <si>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</si>
  <si>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</si>
  <si>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</si>
  <si>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</si>
  <si>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</si>
  <si>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</si>
  <si>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</si>
  <si>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</si>
  <si>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</si>
  <si>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</si>
  <si>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</si>
  <si>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</si>
  <si>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</si>
  <si>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</si>
  <si>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</si>
  <si>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</si>
  <si>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</si>
  <si>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</si>
  <si>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</si>
  <si>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</si>
  <si>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</si>
  <si>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</si>
  <si>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</si>
  <si>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</si>
  <si>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</si>
  <si>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</si>
  <si>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</si>
  <si>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</si>
  <si>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</si>
  <si>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</si>
  <si>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</si>
  <si>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</si>
  <si>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</si>
  <si>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</si>
  <si>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</si>
  <si>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</si>
  <si>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</si>
  <si>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</si>
  <si>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</si>
  <si>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</si>
  <si>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</si>
  <si>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</si>
  <si>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</si>
  <si>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</si>
  <si>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</si>
  <si>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</si>
  <si>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</si>
  <si>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</si>
  <si>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</si>
  <si>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</si>
  <si>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</si>
  <si>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</si>
  <si>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</si>
  <si>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</si>
  <si>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</si>
  <si>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</si>
  <si>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</si>
  <si>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</si>
  <si>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</si>
  <si>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</si>
  <si>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</si>
  <si>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</si>
  <si>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</si>
  <si>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</si>
  <si>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</si>
  <si>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</si>
  <si>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</si>
  <si>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</si>
  <si>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</si>
  <si>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</si>
  <si>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</si>
  <si>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</si>
  <si>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</si>
  <si>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</si>
  <si>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</si>
  <si>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</si>
  <si>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</si>
  <si>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</si>
  <si>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</si>
  <si>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</si>
  <si>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</si>
  <si>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</si>
  <si>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</si>
  <si>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</si>
  <si>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</si>
  <si>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</si>
  <si>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</si>
  <si>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</si>
  <si>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</si>
  <si>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</si>
  <si>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</si>
  <si>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</si>
  <si>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</si>
  <si>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</si>
  <si>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</si>
  <si>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</si>
  <si>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</si>
  <si>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</si>
  <si>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</si>
  <si>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</si>
  <si>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</si>
  <si>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</si>
  <si>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</si>
  <si>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</si>
  <si>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</si>
  <si>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</si>
  <si>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</si>
  <si>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</si>
  <si>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</si>
  <si>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</si>
  <si>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</si>
  <si>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</si>
  <si>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</si>
  <si>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</si>
  <si>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</si>
  <si>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</si>
  <si>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</si>
  <si>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</si>
  <si>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</si>
  <si>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</si>
  <si>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</si>
  <si>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</si>
  <si>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</si>
  <si>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</si>
  <si>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</si>
  <si>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</si>
  <si>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</si>
  <si>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</si>
  <si>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</si>
  <si>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</si>
  <si>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</si>
  <si>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</si>
  <si>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</si>
  <si>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</si>
  <si>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</si>
  <si>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</si>
  <si>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</si>
  <si>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</si>
  <si>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</si>
  <si>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</si>
  <si>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</si>
  <si>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</si>
  <si>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</si>
  <si>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</si>
  <si>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</si>
  <si>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</si>
  <si>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</si>
  <si>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</si>
  <si>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</si>
  <si>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</si>
  <si>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</si>
  <si>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</si>
  <si>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</si>
  <si>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</si>
  <si>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</si>
  <si>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</si>
  <si>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</si>
  <si>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</si>
  <si>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</si>
  <si>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</si>
  <si>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</si>
  <si>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</si>
  <si>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</si>
  <si>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</si>
  <si>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</si>
  <si>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</si>
  <si>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</si>
  <si>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</si>
  <si>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</si>
  <si>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</si>
  <si>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</si>
  <si>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</si>
  <si>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</si>
  <si>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</si>
  <si>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</si>
  <si>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</si>
  <si>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</si>
  <si>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</si>
  <si>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</si>
  <si>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</si>
  <si>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</si>
  <si>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</si>
  <si>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</si>
  <si>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</si>
  <si>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</si>
  <si>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</si>
  <si>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</si>
  <si>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</si>
  <si>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</si>
  <si>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</si>
  <si>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</si>
  <si>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</si>
  <si>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</si>
  <si>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</si>
  <si>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</si>
  <si>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</si>
  <si>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</si>
  <si>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</si>
  <si>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</si>
  <si>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</si>
  <si>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</si>
  <si>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</si>
  <si>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</si>
  <si>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</si>
  <si>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</si>
  <si>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</si>
  <si>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</si>
  <si>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</si>
  <si>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</si>
  <si>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</si>
  <si>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</si>
  <si>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</si>
  <si>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</si>
  <si>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</si>
  <si>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</si>
  <si>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</si>
  <si>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</si>
  <si>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</si>
  <si>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</si>
  <si>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</si>
  <si>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</si>
  <si>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</si>
  <si>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</si>
  <si>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</si>
  <si>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</si>
  <si>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</si>
  <si>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</si>
  <si>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</si>
  <si>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</si>
  <si>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</si>
  <si>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</si>
  <si>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</si>
  <si>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</si>
  <si>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</si>
  <si>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</si>
  <si>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</si>
  <si>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</si>
  <si>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</si>
  <si>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</si>
  <si>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</si>
  <si>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</si>
  <si>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</si>
  <si>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</si>
  <si>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</si>
  <si>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</si>
  <si>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</si>
  <si>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</si>
  <si>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</si>
  <si>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</si>
  <si>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</si>
  <si>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</si>
  <si>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</si>
  <si>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</si>
  <si>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</si>
  <si>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</si>
  <si>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</si>
  <si>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</si>
  <si>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</si>
  <si>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</si>
  <si>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</si>
  <si>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</si>
  <si>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</si>
  <si>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</si>
  <si>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</si>
  <si>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</si>
  <si>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</si>
  <si>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</si>
  <si>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</si>
  <si>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</si>
  <si>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</si>
  <si>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</si>
  <si>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</si>
  <si>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</si>
  <si>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</si>
  <si>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</si>
  <si>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</si>
  <si>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</si>
  <si>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</si>
  <si>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</si>
  <si>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</si>
  <si>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</si>
  <si>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</si>
  <si>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</si>
  <si>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</si>
  <si>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</si>
  <si>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</si>
  <si>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</si>
  <si>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</si>
  <si>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</si>
  <si>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</si>
  <si>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</si>
  <si>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</si>
  <si>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</si>
  <si>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</si>
  <si>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</si>
  <si>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</si>
  <si>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</si>
  <si>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</si>
  <si>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</si>
  <si>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</si>
  <si>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</si>
  <si>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</si>
  <si>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</si>
  <si>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</si>
  <si>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</si>
  <si>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</si>
  <si>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</si>
  <si>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</si>
  <si>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</si>
  <si>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</si>
  <si>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</si>
  <si>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</si>
  <si>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</si>
  <si>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</si>
  <si>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</si>
  <si>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</si>
  <si>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</si>
  <si>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</si>
  <si>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</si>
  <si>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</si>
  <si>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</si>
  <si>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</si>
  <si>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</si>
  <si>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</si>
  <si>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</si>
  <si>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</si>
  <si>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</si>
  <si>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</si>
  <si>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</si>
  <si>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</si>
  <si>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</si>
  <si>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</si>
  <si>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</si>
  <si>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</si>
  <si>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</si>
  <si>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</si>
  <si>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</si>
  <si>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</si>
  <si>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</si>
  <si>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</si>
  <si>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</si>
  <si>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</si>
  <si>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</si>
  <si>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</si>
  <si>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</si>
  <si>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</si>
  <si>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</si>
  <si>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</si>
  <si>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</si>
  <si>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</si>
  <si>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</si>
  <si>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</si>
  <si>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</si>
  <si>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</si>
  <si>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</si>
  <si>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</si>
  <si>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</si>
  <si>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</si>
  <si>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</si>
  <si>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</si>
  <si>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</si>
  <si>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</si>
  <si>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</si>
  <si>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</si>
  <si>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</si>
  <si>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</si>
  <si>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</si>
  <si>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</si>
  <si>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</si>
  <si>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</si>
  <si>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</si>
  <si>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</si>
  <si>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</si>
  <si>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</si>
  <si>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</si>
  <si>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</si>
  <si>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</si>
  <si>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</si>
  <si>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</si>
  <si>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</si>
  <si>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</si>
  <si>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</si>
  <si>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</si>
  <si>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</si>
  <si>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</si>
  <si>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</si>
  <si>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</si>
  <si>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</si>
  <si>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</si>
  <si>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</si>
  <si>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</si>
  <si>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</si>
  <si>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</si>
  <si>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</si>
  <si>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</si>
  <si>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</si>
  <si>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</si>
  <si>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</si>
  <si>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</si>
  <si>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</si>
  <si>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</si>
  <si>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</si>
  <si>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</si>
  <si>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</si>
  <si>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</si>
  <si>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</si>
  <si>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</si>
  <si>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</si>
  <si>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</si>
  <si>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</si>
  <si>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</si>
  <si>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</si>
  <si>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</si>
  <si>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</si>
  <si>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</si>
  <si>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</si>
  <si>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</si>
  <si>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</si>
  <si>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</si>
  <si>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</si>
  <si>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</si>
  <si>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</si>
  <si>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</si>
  <si>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</si>
  <si>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</si>
  <si>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</si>
  <si>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</si>
  <si>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</si>
  <si>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</si>
  <si>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</si>
  <si>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</si>
  <si>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</si>
  <si>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</si>
  <si>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</si>
  <si>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</si>
  <si>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</si>
  <si>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</si>
  <si>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</si>
  <si>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</si>
  <si>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</si>
  <si>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</si>
  <si>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</si>
  <si>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</si>
  <si>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</si>
  <si>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</si>
  <si>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</si>
  <si>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</si>
  <si>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</si>
  <si>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</si>
  <si>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</si>
  <si>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</si>
  <si>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</si>
  <si>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</si>
  <si>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</si>
  <si>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</si>
  <si>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</si>
  <si>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</si>
  <si>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</si>
  <si>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</si>
  <si>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</si>
  <si>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</si>
  <si>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</si>
  <si>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</si>
  <si>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</si>
  <si>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</si>
  <si>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</si>
  <si>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</si>
  <si>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</si>
  <si>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</si>
  <si>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</si>
  <si>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</si>
  <si>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</si>
  <si>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</si>
  <si>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</si>
  <si>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</si>
  <si>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</si>
  <si>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</si>
  <si>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</si>
  <si>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</si>
  <si>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</si>
  <si>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</si>
  <si>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</si>
  <si>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</si>
  <si>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</si>
  <si>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</si>
  <si>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</si>
  <si>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</si>
  <si>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</si>
  <si>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</si>
  <si>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</si>
  <si>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</si>
  <si>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</si>
  <si>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</si>
  <si>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</si>
  <si>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</si>
  <si>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</si>
  <si>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</si>
  <si>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</si>
  <si>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</si>
  <si>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</si>
  <si>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</si>
  <si>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</si>
  <si>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</si>
  <si>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</si>
  <si>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</si>
  <si>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</si>
  <si>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</si>
  <si>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</si>
  <si>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</si>
  <si>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</si>
  <si>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</si>
  <si>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</si>
  <si>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</si>
  <si>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</si>
  <si>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</si>
  <si>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</si>
  <si>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</si>
  <si>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</si>
  <si>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</si>
  <si>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</si>
  <si>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</si>
  <si>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</si>
  <si>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</si>
  <si>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</si>
  <si>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</si>
  <si>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</si>
  <si>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</si>
  <si>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</si>
  <si>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</si>
  <si>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</si>
  <si>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</si>
  <si>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</si>
  <si>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</si>
  <si>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</si>
  <si>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</si>
  <si>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</si>
  <si>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</si>
  <si>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</si>
  <si>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</si>
  <si>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</si>
  <si>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</si>
  <si>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</si>
  <si>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</si>
  <si>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</si>
  <si>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</si>
  <si>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</si>
  <si>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</si>
  <si>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</si>
  <si>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</si>
  <si>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</si>
  <si>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</si>
  <si>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</si>
  <si>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</si>
  <si>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</si>
  <si>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</si>
  <si>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</si>
  <si>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</si>
  <si>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</si>
  <si>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</si>
  <si>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</si>
  <si>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</si>
  <si>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</si>
  <si>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</si>
  <si>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</si>
  <si>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</si>
  <si>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</si>
  <si>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</si>
  <si>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</si>
  <si>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</si>
  <si>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</si>
  <si>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</si>
  <si>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</si>
  <si>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</si>
  <si>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</si>
  <si>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</si>
  <si>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</si>
  <si>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</si>
  <si>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</si>
  <si>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</si>
  <si>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</si>
  <si>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</si>
  <si>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</si>
  <si>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</si>
  <si>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</si>
  <si>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</si>
  <si>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</si>
  <si>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</si>
  <si>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</si>
  <si>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</si>
  <si>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</si>
  <si>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</si>
  <si>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</si>
  <si>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</si>
  <si>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</si>
  <si>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</si>
  <si>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</si>
  <si>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</si>
  <si>
    <t>EC-017</t>
  </si>
  <si>
    <t>Desconto no preço (promoção) — semana do Prime Day</t>
  </si>
  <si>
    <t>PXM (B0H4S3FHG6) — desconto no preço 10%</t>
  </si>
  <si>
    <t>Desconto 10% → R$ 183,19 · piso R$ 183,09 · 05/10 00:00 a 11/10 23:59</t>
  </si>
  <si>
    <t>Converte com qualquer desconto (9.9: 3 un a −15%; 21–27/09: 5 un a −5%). Margem SP Interior 15,0% — no piso; com promo de quantidade empilhada: 11,7% (3+) / 9,5% (5+), risco aceito (o pedido de 3 PXM de 24/09 saiu a 15,6% realizados).</t>
  </si>
  <si>
    <t>ciclos/Monitoramento-28-09.md (adendo 30/09) + Simulador Mestra v4.3.4 + relatorios/amazon/monitoramento-28-09/</t>
  </si>
  <si>
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</si>
  <si>
    <t>EC-018</t>
  </si>
  <si>
    <t>Desconto 10% → R$ 223,88 · piso R$ 217,76 · 05/10 00:00 a 11/10 23:59</t>
  </si>
  <si>
    <t>Converteu com Melhor Oferta a −10% no 9.9 (1 un); 0 a −10% em 21–27/09 (5 sessões). Margem SP Interior 16,7%; com promo de quantidade: 13,5% (3+) / 11,5% (5+).</t>
  </si>
  <si>
    <t>EC-019</t>
  </si>
  <si>
    <t>Desconto 10% → R$ 460,28 · piso R$ 404,24 · 05/10 00:00 a 11/10 23:59</t>
  </si>
  <si>
    <t>Não respondeu a −10% em 21–27/09 (12 sessões, 0 un), mas tem a maior folga entre os com tráfego: 22,6%; com promo de quantidade 19,7% (3+) / 17,8% (5+) — absorve o empilhamento. Teste na semana de maior tráfego.</t>
  </si>
  <si>
    <t>EC-020</t>
  </si>
  <si>
    <t>Desconto no preço comum PRECOPRIMEALTERNATIVO — 05–11/10 (semana do Prime Day, sem vínculo com o evento)</t>
  </si>
  <si>
    <t>Lote de 12 SKUs: L2460-CP, EGC, Q4070-A, L2470-B, L3070-B, P4080, P3050, P3060, PXM, L2460-AML, Q3060-A, L3085-B</t>
  </si>
  <si>
    <t>Preço de tabela nos 12, sem promoção (referência da Amazon = preço de tabela da Mestra, conferido no modelo de upload)</t>
  </si>
  <si>
    <t>ciclos/Monitoramento-28-09.md (adendos 30/09) + dados/PROPOSTA_PrimeDay_desconto_evento_catalogo.csv + Simulador Mestra v4.3.4 + relatorios/amazon/monitoramento-28-09/ (upload_desconto-comum_13-skus_10pct_final_30-09.xlsx, prints etapa 3 e painel 'Em breve')</t>
  </si>
  <si>
    <t>Criado em 30/09 no desconto vinculado ao evento (PRIMEDAY-DESCONTO-10) e marcado 'Inválido — O SKU não oferece frete grátis' na Etapa 3 (aba de erros marcou todos os participantes).</t>
  </si>
  <si>
    <t>DESCARTADA 30/09 — o desconto vinculado ao evento exige frete grátis para envio pelo vendedor; substituída pela EC-020 (desconto comum, mesmo preço R$ 183,18).</t>
  </si>
  <si>
    <t>DESCARTADA 30/09 — sem preço de referência (desconto invisível); fora do Prime Day; recuperar referência para a Black Friday.</t>
  </si>
  <si>
    <t>Criado em 30/09 a 5% (R$ 236,31) e 'Sem preço de referência'; excluído pelo LEO no mesmo dia, antes do descarte do desconto do evento.</t>
  </si>
  <si>
    <t>Criado em 30/09 no desconto vinculado ao evento e marcado 'Inválido — O SKU não oferece frete grátis' na Etapa 3.</t>
  </si>
  <si>
    <t>DESCARTADA 30/09 — mesma regra da EC-017; substituída pela EC-020 (desconto comum, mesmo preço R$ 460,27).</t>
  </si>
  <si>
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</si>
  <si>
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</si>
  <si>
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</si>
  <si>
    <t>O7-001</t>
  </si>
  <si>
    <t>O7</t>
  </si>
  <si>
    <t>segmentação close-match (Correspondência aproximada)</t>
  </si>
  <si>
    <t>R$ 0,65 (+20%)</t>
  </si>
  <si>
    <t>ACOS 4,4% em 179 cli / 8 compras (30d); Era da campanha 4,5%; orçamento folgado (12%). Objetivo 9% dá margem para comprar entrega.</t>
  </si>
  <si>
    <t>ciclos/O7-13-10.md + relatorios/amazon/o7-13-10/</t>
  </si>
  <si>
    <t>27/10/2026</t>
  </si>
  <si>
    <t>Reler na O8: se ACOS da segmentação passar de 9%, voltar a 0,54.</t>
  </si>
  <si>
    <t>O7-002</t>
  </si>
  <si>
    <t>segmentação substitutes (Substitutos)</t>
  </si>
  <si>
    <t>ACOS 4,2% em 131 cli / 5 compras (30d). Devolve o lance pré-O5 com evidência de conversão.</t>
  </si>
  <si>
    <t>Mesma régua de saída da O7-001.</t>
  </si>
  <si>
    <t>O7-003</t>
  </si>
  <si>
    <t>alvo asin="B0CYWMQ93Y" (exato, lance 0,90)</t>
  </si>
  <si>
    <t>Ativo</t>
  </si>
  <si>
    <t>18 cliques vitalícios / R$ 17,10 / 0 venda — régua de alvo (15+). Campanha segue ativa (3 vendas vitalícias, ACOS 15,1%).</t>
  </si>
  <si>
    <t>Não converter em pausa de campanha.</t>
  </si>
  <si>
    <t>O7-004</t>
  </si>
  <si>
    <t>ASIN B076VYNP9W (substitutes)</t>
  </si>
  <si>
    <t>Servindo</t>
  </si>
  <si>
    <t>Negativado</t>
  </si>
  <si>
    <t>20 cliques / R$ 9,37 / 0 em 30d — maior dreno da Geral sem venda. Não é irrelevância semântica (é concorrente), por isso MÉDIA.</t>
  </si>
  <si>
    <t>Reavaliar se o SKU anunciado (L2025-T) perder entrega.</t>
  </si>
  <si>
    <t>O7-005</t>
  </si>
  <si>
    <t>frase "dourada"</t>
  </si>
  <si>
    <t>Negativado (frase)</t>
  </si>
  <si>
    <t>"lixeira dourada" 3 cli / R$ 2,07 / 0 — a Winnet não vende acabamento dourado.</t>
  </si>
  <si>
    <t>O7-006</t>
  </si>
  <si>
    <t>6B Lixeiras banheiro + Manual L3070-B</t>
  </si>
  <si>
    <t>estratégia de lance (piloto O4-014 / O5-009 / O6-010)</t>
  </si>
  <si>
    <t>ALTERAR ESTRATÉGIA DE LANCE</t>
  </si>
  <si>
    <t>Lances dinâmicos (aumento e redução)</t>
  </si>
  <si>
    <t>Lances fixos</t>
  </si>
  <si>
    <t>Contrato de saída da O6-010: zero diferença contra o controle em 2 Eras (6B 12 cli/0; L3070-B 2 cli/0; controle 0–1 cli). Piloto encerrado como SEM EFEITO.</t>
  </si>
  <si>
    <t>Conferir no console a estratégia real antes de alterar.</t>
  </si>
  <si>
    <t>O7-007</t>
  </si>
  <si>
    <t>6B Lixeiras banheiro</t>
  </si>
  <si>
    <t>palavra-chave exata "lixo banheiro" (L1618-T + L2025-T)</t>
  </si>
  <si>
    <t>Não existe</t>
  </si>
  <si>
    <t>Exata, lance R$ 0,80</t>
  </si>
  <si>
    <t>Termo provou valor na Geral: 10 cli / R$ 7,31 / 2 compras / R$ 395,70 (ACOS 1,8%). Exata &gt; Frase. CPC médio 0,73.</t>
  </si>
  <si>
    <t>Entra com a 6B já em lances fixos (O7-006).</t>
  </si>
  <si>
    <t>O7-008</t>
  </si>
  <si>
    <t>alvos asin-expanded (lance 1,10)</t>
  </si>
  <si>
    <t>R$ 1,32 (+20%)</t>
  </si>
  <si>
    <t>Radar: 1.015 impressões/30d, 4 cli, 1 compra; vitalício 12 cli / 3 compras. Objetivo é amostra, não gasto (R$ 2,52 em 30d).</t>
  </si>
  <si>
    <t>Contrato de saída: O8 sem aumento de entrega → voltar a 1,10.</t>
  </si>
  <si>
    <t>O7-009</t>
  </si>
  <si>
    <t>alvos asin exatos (lance 0,90)</t>
  </si>
  <si>
    <t>R$ 1,08 (+20%)</t>
  </si>
  <si>
    <t>Régua da assessoria: campanha gastou &lt; R$ 5 em 30d (R$ 2,52) com ACOS abaixo do Máximo → +20% em TODAS as segmentações. Complementa a O7-008.</t>
  </si>
  <si>
    <t>ciclos/O7-13-10_lista-refeita-regua-henrique.md + docs/referencia/Otimizacao_de_ADS_assessoria_Henrique.pdf + relatorios/amazon/o7-13-10/</t>
  </si>
  <si>
    <t>Os dois métodos convergem (Radar + regra "&lt; R$ 5").</t>
  </si>
  <si>
    <t>O7-010</t>
  </si>
  <si>
    <t>Extintor Palavra-Chave Exato Manual</t>
  </si>
  <si>
    <t>exata "suporte para extintor de incêndio"</t>
  </si>
  <si>
    <t>R$ 3,12 (+20%)</t>
  </si>
  <si>
    <t>Regra "&lt; R$ 5 → +20%" reativada pelo LEO em 13/10: 143 impr · 1 cli · R$ 0,72 em 30d. ACOS indefinido (sem venda) lido como "não acima do Máximo".</t>
  </si>
  <si>
    <t>Ressalva: TOS IS 76% — pouca busca, não pouco lance. Ler na O8; se impressões não subirem, a alavanca não é lance.</t>
  </si>
  <si>
    <t>O7-011</t>
  </si>
  <si>
    <t>Cinzeiros 6C</t>
  </si>
  <si>
    <t>exata "lixeira com cinzeiro"</t>
  </si>
  <si>
    <t>R$ 1,92 (+20%)</t>
  </si>
  <si>
    <t>Regra "&lt; R$ 5 → +20%" reativada: 258 impr · 1 cli · R$ 1,56 em 30d.</t>
  </si>
  <si>
    <t>L2460-CZ vendeu pela Geral ("cinzeiro externo"), não por esta manual.</t>
  </si>
  <si>
    <t>O7-012</t>
  </si>
  <si>
    <t>Manual Bituqueiras Space</t>
  </si>
  <si>
    <t>exata "bituqueira de parede"</t>
  </si>
  <si>
    <t>R$ 1,44 (+20%)</t>
  </si>
  <si>
    <t>Regra "&lt; R$ 5 → +20%" reativada: 17 impr · 1 cli · R$ 1,09 em 30d. Anúncios 13/10: SP-PP, SP-FF, SP-T em inserção; SP-01 suspensa (caso 21652133321).</t>
  </si>
  <si>
    <t>Conferir no console se a campanha segue ativa (relatório de 30d termina em 06/10).</t>
  </si>
  <si>
    <t>O7-013</t>
  </si>
  <si>
    <t>Manual Palavra-Chave L3070-B</t>
  </si>
  <si>
    <t>exata "lixeira basculante 50 litros"</t>
  </si>
  <si>
    <t>Regra "&lt; R$ 5 → +20%" reativada: 460 impr · 2 cli · R$ 2,44 em 30d.</t>
  </si>
  <si>
    <t>Executar DEPOIS da O7-006 (estratégia volta a fixo) para o lance novo valer como fixo.</t>
  </si>
  <si>
    <t>O7-014</t>
  </si>
  <si>
    <t>exata "lixeira banheiro 7 litros"</t>
  </si>
  <si>
    <t>R$ 1,80 (+20%)</t>
  </si>
  <si>
    <t>Regra "&lt; R$ 5 → +20%" reativada: 1.196 impr · 1 cli · R$ 2,30 em 30d.</t>
  </si>
  <si>
    <t>Ressalva: CTR 0,08% — lance maior compra impressão, não clique. Se na O8 seguir sem clique, é CORRIGIR CTR, não lance. Não mexer na exata "pia de cozinha" (14/15, vigia).</t>
  </si>
  <si>
    <t>O7-015</t>
  </si>
  <si>
    <t>auto PXP-o311/08</t>
  </si>
  <si>
    <t>R$ 1,58 (+20%)</t>
  </si>
  <si>
    <t>Regra "&lt; R$ 5 → +20%" reativada: 2.879 impr · 3 cli · R$ 3,03 em 30d.</t>
  </si>
  <si>
    <t>Conflita com a vigia da campanha (10/15 cli sem venda em 30d). Checkpoint de 15 cliques continua valendo: se disparar, abre diagnóstico de conversão do PXP antes de qualquer novo aumento.</t>
  </si>
  <si>
    <t>O7-016</t>
  </si>
  <si>
    <t>R$ 80 (+100%)</t>
  </si>
  <si>
    <t>Regra 8 da assessoria: ACOS 0,4% abaixo do Objetivo → +100%. Aprovado pelo LEO. Sem efeito prático: campanha consome 0,2% do orçamento.</t>
  </si>
  <si>
    <t>Executado por fidelidade à régua original; não é alavanca (decisão O4 segue válida para leitura).</t>
  </si>
  <si>
    <t>O7-017</t>
  </si>
  <si>
    <t>R$ 24 (+20%)</t>
  </si>
  <si>
    <t>Regra 8 da assessoria: ACOS 13,0% entre Objetivo e Máximo → +20%. Aprovado pelo LEO. Consome 27% do orçamento.</t>
  </si>
  <si>
    <t>Idem O7-016. Campanha segue sem mexida de lance (gatilho O6-004 não disparou).</t>
  </si>
  <si>
    <t>O7-018</t>
  </si>
  <si>
    <t>Conta (método)</t>
  </si>
  <si>
    <t>réguas de ACOS — Parâmetros §1</t>
  </si>
  <si>
    <t>ALTERAR RÉGUA DE ACOS</t>
  </si>
  <si>
    <t>Objetivo 9% · Máximo 18% · Emergência 36% (fixos)</t>
  </si>
  <si>
    <t>Máximo = margem média 30d (Mestra) · Objetivo = metade · Emergência = dobro → 25% · 12,5% · 50% (margem 13/09–12/10: 25,1%)</t>
  </si>
  <si>
    <t>Definição da assessoria (PDF): ACOS Máximo = margem média bruta dos últimos 30 dias; Objetivo = metade. Aplicado com a margem líquida da Mestra (fonte oficial de margem). Recalcular a cada Ox.</t>
  </si>
  <si>
    <t>Não é ação no console. Print do Gestor Seller (margem bruta) pode refinar o número; até lá vale a Mestra. Diagnóstico da O7 relido: ACOS 5,4% da Era = 43% do Objetivo novo.</t>
  </si>
  <si>
    <t>SP-PP pausada; 0 atividade na Era</t>
  </si>
  <si>
    <t>MANTIDA — venda orgânica não reabilita a auto</t>
  </si>
  <si>
    <t>EGC pausada; SKU vendeu 1 un orgânica (23/09) e teve 24 sessões na Era sem Ads</t>
  </si>
  <si>
    <t>alvo B09YDLC69D pausado; 16 cli vit / 0 congelados</t>
  </si>
  <si>
    <t>PRECOPRIMEALTERNATIVO (12 SKUs a 10%, 05–11/10): 108 visualizações · 0 un · R$ 0</t>
  </si>
  <si>
    <t>SEM EFEITO — 3ª leitura de desconto a 10% sem conversão; não repetir fora de evento com selo</t>
  </si>
  <si>
    <t>MANTIDAS</t>
  </si>
  <si>
    <t>Geral R$ 90/dia, consumo 12%; auto PXP 10 cli/0 em 30d; PI L2030-B 7 cli/0 (vit 3 compras em 1 alvo)</t>
  </si>
  <si>
    <t>VIGIA MANTIDA — dupla (Geral 5/15; PI 14/15)</t>
  </si>
  <si>
    <t>B0BHMZBZW9: Geral 5 cli / 0 em 30d (régua 15); como alvo da PI P3070 14 cli vit / 1</t>
  </si>
  <si>
    <t>Migração: GS1 reenviado 05/10; gate físico sem data</t>
  </si>
  <si>
    <t>NÃO DECIDIR AINDA (mantido)</t>
  </si>
  <si>
    <t>O8</t>
  </si>
  <si>
    <t>Melhor Oferta PXP 10% (exceção ao piso): 23 visualizações · 0 un</t>
  </si>
  <si>
    <t>SEM EFEITO — exceção ao piso não se repete</t>
  </si>
  <si>
    <t>P3050 não elegível; no desconto comum: 11 sessões / 0</t>
  </si>
  <si>
    <t>NÃO ELEGÍVEL</t>
  </si>
  <si>
    <t>P3060 não elegível; no desconto comum: 12 sessões / 0</t>
  </si>
  <si>
    <t>P4080 não elegível; no desconto comum: 21 sessões / 0</t>
  </si>
  <si>
    <t>Melhor Oferta P3070 15%: 124 visualizações · 1 un · R$ 523,75 · 0,8%; BR 108 sessões na semana</t>
  </si>
  <si>
    <t>POSITIVO FRACO — tráfego sim, 1 conversão; repetir só com selo de evento</t>
  </si>
  <si>
    <t>PG2460 não elegível; sem preço de referência</t>
  </si>
  <si>
    <t>PXM nunca entrou na lista de Melhor Oferta</t>
  </si>
  <si>
    <t>NÃO ELEGÍVEL — substituída pelo desconto comum (EC-020), 0 venda</t>
  </si>
  <si>
    <t>Piloto +1 Era: 6B 12 cli/0, L3070-B 2 cli/0; controle 0–1 cli</t>
  </si>
  <si>
    <t>SEM EFEITO — encerrar (O7-006)</t>
  </si>
  <si>
    <t>exata "lixeira inox para pia de cozinha": 14 cli / R$ 16,18 / 0 em 30d</t>
  </si>
  <si>
    <t>VIGIA MANTIDA — dispara com 1 clique (→ 1,20 ou pausar)</t>
  </si>
  <si>
    <t>Q2460-B pausado na Geral em 28/09; BR 19 → 1 sessão por bloco</t>
  </si>
  <si>
    <t>CONFIRMADA — SKU vai à fila de página</t>
  </si>
  <si>
    <t>loose-match a 0,45: 153 cli · R$ 96,49 · 4 compras · ACOS 9,4% (30d); era o dreno de 60% do custo</t>
  </si>
  <si>
    <t>POSITIVO — mantido em 0,45</t>
  </si>
  <si>
    <t>PI P3070 na Era: 70 cli · R$ 89,35 · 1 venda (30/09, alvo B0CTMZHJFJ) · ACOS 14,5%</t>
  </si>
  <si>
    <t>GATILHO NÃO DISPAROU — lances mantidos; alvo B0CYWMQ93Y → O7-003</t>
  </si>
  <si>
    <t>O5-013 cancelada em 22/09; nada a promover</t>
  </si>
  <si>
    <t xml:space="preserve">ENCERRADA </t>
  </si>
  <si>
    <t>L2025-B segue no grupo da 6B; exatas da 6B sem venda em 30d</t>
  </si>
  <si>
    <t xml:space="preserve">MANTIDA </t>
  </si>
  <si>
    <t>grupo recebe a exata "lixo banheiro" (O7-007)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</si>
</sst>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R$&quot;\ #,##0;[Red]\-&quot;R$&quot;\ #,##0"/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9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8" fontId="0" fillId="0" borderId="0" xfId="0" applyNumberFormat="1" applyFont="1" applyFill="1" applyBorder="1" applyAlignment="1">
      <alignment horizontal="center" vertical="center"/>
    </xf>
    <xf numFmtId="6" fontId="0" fillId="0" borderId="0" xfId="0" applyNumberFormat="1" applyFont="1" applyFill="1" applyBorder="1" applyAlignment="1">
      <alignment horizontal="center" vertical="center"/>
    </xf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08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8"/>
  <sheetViews>
    <sheetView tabSelected="1" topLeftCell="R57" workbookViewId="0">
      <selection activeCell="W71" sqref="W71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2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</row>
    <row r="2" spans="1:22" ht="30" customHeight="1">
      <c r="A2" s="53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</row>
    <row r="3" spans="1:22" ht="27.95" customHeight="1">
      <c r="A3" s="5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5" t="s">
        <v>9</v>
      </c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</row>
    <row r="6" spans="1:22" ht="26.1" customHeight="1">
      <c r="A6" s="2">
        <f>COUNTIF(A11:A208,"&lt;&gt;")</f>
        <v>94</v>
      </c>
      <c r="B6" s="3">
        <f>COUNTIF(N11:N208,"SIM")</f>
        <v>94</v>
      </c>
      <c r="C6" s="3">
        <f>COUNTIF(O11:O208,"SIM")</f>
        <v>88</v>
      </c>
      <c r="D6" s="3">
        <f>COUNTIF(P11:P208,"BLOQUEADA*")</f>
        <v>0</v>
      </c>
      <c r="E6" s="3">
        <f>COUNTIF(P11:P208,"EXECUTADA - EM MATURAÇÃO")</f>
        <v>23</v>
      </c>
      <c r="F6" s="4">
        <f>COUNTIF(P11:P208,"EXECUTADA - AVALIADA")</f>
        <v>65</v>
      </c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</row>
    <row r="8" spans="1:22" ht="21.95" customHeight="1">
      <c r="A8" s="56" t="s">
        <v>10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57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57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49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49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49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49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49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49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49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49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49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49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49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49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49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49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49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49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49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46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43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41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41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39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39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34</v>
      </c>
      <c r="S36" t="s">
        <v>581</v>
      </c>
      <c r="T36" t="s">
        <v>582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34</v>
      </c>
      <c r="S37" t="s">
        <v>583</v>
      </c>
      <c r="T37" t="s">
        <v>584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34</v>
      </c>
      <c r="S38" t="s">
        <v>585</v>
      </c>
      <c r="T38" t="s">
        <v>586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34</v>
      </c>
      <c r="S39" t="s">
        <v>587</v>
      </c>
      <c r="T39" t="s">
        <v>588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34</v>
      </c>
      <c r="S40" t="s">
        <v>589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34</v>
      </c>
      <c r="S41" t="s">
        <v>590</v>
      </c>
      <c r="T41" t="s">
        <v>591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34</v>
      </c>
      <c r="S42" t="s">
        <v>592</v>
      </c>
      <c r="T42" t="s">
        <v>593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34</v>
      </c>
      <c r="S43" t="s">
        <v>594</v>
      </c>
      <c r="T43" t="s">
        <v>595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34</v>
      </c>
      <c r="S44" t="s">
        <v>596</v>
      </c>
      <c r="T44" t="s">
        <v>597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34</v>
      </c>
      <c r="S45" t="s">
        <v>598</v>
      </c>
      <c r="T45" t="s">
        <v>599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34</v>
      </c>
      <c r="S46" t="s">
        <v>600</v>
      </c>
      <c r="T46" t="s">
        <v>601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34</v>
      </c>
      <c r="S47" t="s">
        <v>602</v>
      </c>
      <c r="T47" t="s">
        <v>603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604</v>
      </c>
      <c r="T48" t="s">
        <v>605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34</v>
      </c>
      <c r="S49" t="s">
        <v>606</v>
      </c>
      <c r="T49" t="s">
        <v>607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34</v>
      </c>
      <c r="S50" t="s">
        <v>608</v>
      </c>
      <c r="T50" t="s">
        <v>609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34</v>
      </c>
      <c r="S51" t="s">
        <v>610</v>
      </c>
      <c r="T51" t="s">
        <v>611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34</v>
      </c>
      <c r="S52" t="s">
        <v>612</v>
      </c>
      <c r="T52" t="s">
        <v>613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25</v>
      </c>
      <c r="S53" t="s">
        <v>615</v>
      </c>
      <c r="T53" t="s">
        <v>616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25</v>
      </c>
      <c r="S54" t="s">
        <v>617</v>
      </c>
      <c r="T54" t="s">
        <v>618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25</v>
      </c>
      <c r="S55" t="s">
        <v>619</v>
      </c>
      <c r="T55" t="s">
        <v>620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25</v>
      </c>
      <c r="S56" t="s">
        <v>621</v>
      </c>
      <c r="T56" t="s">
        <v>622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25</v>
      </c>
      <c r="S57" t="s">
        <v>623</v>
      </c>
      <c r="T57" t="s">
        <v>624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25</v>
      </c>
      <c r="S58" t="s">
        <v>625</v>
      </c>
      <c r="T58" t="s">
        <v>626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25</v>
      </c>
      <c r="S59" t="s">
        <v>627</v>
      </c>
      <c r="T59" t="s">
        <v>628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25</v>
      </c>
      <c r="S60" t="s">
        <v>629</v>
      </c>
      <c r="T60" t="s">
        <v>630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25</v>
      </c>
      <c r="S61" t="s">
        <v>629</v>
      </c>
      <c r="T61" t="s">
        <v>630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25</v>
      </c>
      <c r="S62" t="s">
        <v>631</v>
      </c>
      <c r="T62" t="s">
        <v>632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51</v>
      </c>
      <c r="Q63" s="18">
        <f t="shared" si="0"/>
        <v>46288</v>
      </c>
      <c r="R63" s="19">
        <f t="shared" ca="1" si="2"/>
        <v>21</v>
      </c>
      <c r="S63" t="s">
        <v>762</v>
      </c>
      <c r="T63" t="s">
        <v>392</v>
      </c>
      <c r="U63" t="s">
        <v>146</v>
      </c>
      <c r="V63" t="s">
        <v>469</v>
      </c>
    </row>
    <row r="64" spans="1:22">
      <c r="A64" t="s">
        <v>470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471</v>
      </c>
      <c r="J64" t="s">
        <v>143</v>
      </c>
      <c r="K64" t="s">
        <v>472</v>
      </c>
      <c r="L64" t="s">
        <v>468</v>
      </c>
      <c r="M64" t="s">
        <v>41</v>
      </c>
      <c r="N64" t="s">
        <v>40</v>
      </c>
      <c r="O64" s="46" t="s">
        <v>40</v>
      </c>
      <c r="P64" s="46" t="s">
        <v>51</v>
      </c>
      <c r="Q64" s="18">
        <f t="shared" si="0"/>
        <v>46288</v>
      </c>
      <c r="R64" s="19">
        <f t="shared" ca="1" si="2"/>
        <v>21</v>
      </c>
      <c r="S64" t="s">
        <v>764</v>
      </c>
      <c r="T64" t="s">
        <v>763</v>
      </c>
      <c r="U64" t="s">
        <v>146</v>
      </c>
      <c r="V64" t="s">
        <v>473</v>
      </c>
    </row>
    <row r="65" spans="1:22">
      <c r="A65" t="s">
        <v>474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475</v>
      </c>
      <c r="H65" t="s">
        <v>52</v>
      </c>
      <c r="I65" t="s">
        <v>476</v>
      </c>
      <c r="J65" t="s">
        <v>477</v>
      </c>
      <c r="K65" t="s">
        <v>478</v>
      </c>
      <c r="L65" t="s">
        <v>468</v>
      </c>
      <c r="M65" t="s">
        <v>41</v>
      </c>
      <c r="N65" t="s">
        <v>40</v>
      </c>
      <c r="O65" s="46" t="s">
        <v>40</v>
      </c>
      <c r="P65" s="46" t="s">
        <v>51</v>
      </c>
      <c r="Q65" s="18">
        <f t="shared" si="0"/>
        <v>46288</v>
      </c>
      <c r="R65" s="19">
        <f t="shared" ca="1" si="2"/>
        <v>21</v>
      </c>
      <c r="S65" t="s">
        <v>765</v>
      </c>
      <c r="T65" t="s">
        <v>392</v>
      </c>
      <c r="U65" t="s">
        <v>146</v>
      </c>
      <c r="V65" t="s">
        <v>479</v>
      </c>
    </row>
    <row r="66" spans="1:22">
      <c r="A66" t="s">
        <v>480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481</v>
      </c>
      <c r="I66" t="s">
        <v>482</v>
      </c>
      <c r="J66" t="s">
        <v>483</v>
      </c>
      <c r="K66" t="s">
        <v>484</v>
      </c>
      <c r="L66" t="s">
        <v>468</v>
      </c>
      <c r="M66" t="s">
        <v>45</v>
      </c>
      <c r="N66" t="s">
        <v>40</v>
      </c>
      <c r="O66" s="46" t="s">
        <v>40</v>
      </c>
      <c r="P66" s="46" t="s">
        <v>51</v>
      </c>
      <c r="Q66" s="18">
        <f t="shared" si="0"/>
        <v>46288</v>
      </c>
      <c r="R66" s="19">
        <f t="shared" ca="1" si="2"/>
        <v>21</v>
      </c>
      <c r="S66" t="s">
        <v>794</v>
      </c>
      <c r="T66" t="s">
        <v>795</v>
      </c>
      <c r="U66" s="48">
        <v>46322</v>
      </c>
      <c r="V66" t="s">
        <v>485</v>
      </c>
    </row>
    <row r="67" spans="1:22">
      <c r="A67" t="s">
        <v>486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487</v>
      </c>
      <c r="L67" t="s">
        <v>468</v>
      </c>
      <c r="M67" t="s">
        <v>41</v>
      </c>
      <c r="N67" t="s">
        <v>40</v>
      </c>
      <c r="O67" s="46" t="s">
        <v>40</v>
      </c>
      <c r="P67" s="46" t="s">
        <v>51</v>
      </c>
      <c r="Q67" s="18">
        <f t="shared" si="0"/>
        <v>46288</v>
      </c>
      <c r="R67" s="19">
        <f t="shared" ca="1" si="2"/>
        <v>21</v>
      </c>
      <c r="S67" t="s">
        <v>792</v>
      </c>
      <c r="T67" t="s">
        <v>793</v>
      </c>
      <c r="U67" s="48">
        <v>46322</v>
      </c>
      <c r="V67" t="s">
        <v>488</v>
      </c>
    </row>
    <row r="68" spans="1:22">
      <c r="A68" t="s">
        <v>489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490</v>
      </c>
      <c r="H68" t="s">
        <v>491</v>
      </c>
      <c r="I68" t="s">
        <v>492</v>
      </c>
      <c r="J68" t="s">
        <v>493</v>
      </c>
      <c r="K68" t="s">
        <v>494</v>
      </c>
      <c r="L68" t="s">
        <v>468</v>
      </c>
      <c r="M68" t="s">
        <v>45</v>
      </c>
      <c r="N68" t="s">
        <v>40</v>
      </c>
      <c r="O68" s="46" t="s">
        <v>40</v>
      </c>
      <c r="P68" s="46" t="s">
        <v>51</v>
      </c>
      <c r="Q68" s="18">
        <f t="shared" si="0"/>
        <v>46288</v>
      </c>
      <c r="R68" s="19">
        <f t="shared" ca="1" si="2"/>
        <v>21</v>
      </c>
      <c r="S68" t="s">
        <v>790</v>
      </c>
      <c r="T68" t="s">
        <v>791</v>
      </c>
      <c r="U68" t="s">
        <v>146</v>
      </c>
      <c r="V68" t="s">
        <v>495</v>
      </c>
    </row>
    <row r="69" spans="1:22">
      <c r="A69" t="s">
        <v>496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497</v>
      </c>
      <c r="H69" t="s">
        <v>498</v>
      </c>
      <c r="I69" t="s">
        <v>57</v>
      </c>
      <c r="J69" t="s">
        <v>499</v>
      </c>
      <c r="K69" t="s">
        <v>500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21</v>
      </c>
      <c r="S69" t="s">
        <v>796</v>
      </c>
      <c r="T69" t="s">
        <v>797</v>
      </c>
      <c r="U69" t="s">
        <v>146</v>
      </c>
      <c r="V69" t="s">
        <v>501</v>
      </c>
    </row>
    <row r="70" spans="1:22">
      <c r="A70" t="s">
        <v>502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503</v>
      </c>
      <c r="H70" t="s">
        <v>504</v>
      </c>
      <c r="I70" t="s">
        <v>505</v>
      </c>
      <c r="J70" t="s">
        <v>506</v>
      </c>
      <c r="K70" t="s">
        <v>507</v>
      </c>
      <c r="L70" t="s">
        <v>468</v>
      </c>
      <c r="M70" t="s">
        <v>45</v>
      </c>
      <c r="N70" t="s">
        <v>40</v>
      </c>
      <c r="O70" s="46" t="s">
        <v>40</v>
      </c>
      <c r="P70" s="46" t="s">
        <v>51</v>
      </c>
      <c r="Q70" s="18">
        <f t="shared" si="0"/>
        <v>46288</v>
      </c>
      <c r="R70" s="19">
        <f t="shared" ca="1" si="2"/>
        <v>21</v>
      </c>
      <c r="S70" t="s">
        <v>788</v>
      </c>
      <c r="T70" t="s">
        <v>789</v>
      </c>
      <c r="U70" s="48">
        <v>46315</v>
      </c>
      <c r="V70" t="s">
        <v>508</v>
      </c>
    </row>
    <row r="71" spans="1:22">
      <c r="A71" t="s">
        <v>509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510</v>
      </c>
      <c r="H71" t="s">
        <v>511</v>
      </c>
      <c r="I71" t="s">
        <v>512</v>
      </c>
      <c r="J71" t="s">
        <v>513</v>
      </c>
      <c r="K71" t="s">
        <v>514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21</v>
      </c>
      <c r="S71" t="s">
        <v>798</v>
      </c>
      <c r="T71" t="s">
        <v>799</v>
      </c>
      <c r="U71" t="s">
        <v>146</v>
      </c>
      <c r="V71" t="s">
        <v>800</v>
      </c>
    </row>
    <row r="72" spans="1:22">
      <c r="A72" t="s">
        <v>515</v>
      </c>
      <c r="B72" t="s">
        <v>464</v>
      </c>
      <c r="C72" s="48">
        <v>46287</v>
      </c>
      <c r="D72" s="48">
        <v>46287</v>
      </c>
      <c r="E72" s="48">
        <v>46287</v>
      </c>
      <c r="F72" t="s">
        <v>516</v>
      </c>
      <c r="G72" t="s">
        <v>517</v>
      </c>
      <c r="H72" t="s">
        <v>518</v>
      </c>
      <c r="I72" t="s">
        <v>519</v>
      </c>
      <c r="J72" t="s">
        <v>520</v>
      </c>
      <c r="K72" t="s">
        <v>521</v>
      </c>
      <c r="L72" t="s">
        <v>468</v>
      </c>
      <c r="M72" t="s">
        <v>45</v>
      </c>
      <c r="N72" t="s">
        <v>40</v>
      </c>
      <c r="O72" s="46" t="s">
        <v>40</v>
      </c>
      <c r="P72" s="46" t="s">
        <v>51</v>
      </c>
      <c r="Q72" s="18">
        <f t="shared" si="0"/>
        <v>46288</v>
      </c>
      <c r="R72" s="19">
        <f t="shared" ca="1" si="2"/>
        <v>21</v>
      </c>
      <c r="S72" t="s">
        <v>786</v>
      </c>
      <c r="T72" t="s">
        <v>787</v>
      </c>
      <c r="U72" t="s">
        <v>146</v>
      </c>
      <c r="V72" t="s">
        <v>522</v>
      </c>
    </row>
    <row r="73" spans="1:22">
      <c r="A73" t="s">
        <v>523</v>
      </c>
      <c r="B73" t="s">
        <v>464</v>
      </c>
      <c r="C73" s="48">
        <v>46287</v>
      </c>
      <c r="D73" s="48">
        <v>46287</v>
      </c>
      <c r="E73" s="48"/>
      <c r="F73" t="s">
        <v>524</v>
      </c>
      <c r="G73" t="s">
        <v>525</v>
      </c>
      <c r="H73" t="s">
        <v>526</v>
      </c>
      <c r="I73" t="s">
        <v>527</v>
      </c>
      <c r="J73" t="s">
        <v>528</v>
      </c>
      <c r="K73" t="s">
        <v>529</v>
      </c>
      <c r="L73" t="s">
        <v>468</v>
      </c>
      <c r="M73" t="s">
        <v>45</v>
      </c>
      <c r="N73" t="s">
        <v>40</v>
      </c>
      <c r="O73" s="46" t="s">
        <v>44</v>
      </c>
      <c r="P73" s="46" t="s">
        <v>53</v>
      </c>
      <c r="Q73" s="18" t="str">
        <f t="shared" si="0"/>
        <v/>
      </c>
      <c r="R73" s="19" t="str">
        <f t="shared" ca="1" si="2"/>
        <v/>
      </c>
      <c r="S73" t="s">
        <v>784</v>
      </c>
      <c r="T73" t="s">
        <v>785</v>
      </c>
      <c r="U73" t="s">
        <v>146</v>
      </c>
      <c r="V73" t="s">
        <v>614</v>
      </c>
    </row>
    <row r="74" spans="1:22">
      <c r="A74" t="s">
        <v>530</v>
      </c>
      <c r="B74" t="s">
        <v>464</v>
      </c>
      <c r="C74" s="48">
        <v>46287</v>
      </c>
      <c r="D74" s="48">
        <v>46287</v>
      </c>
      <c r="E74" s="48"/>
      <c r="F74" t="s">
        <v>524</v>
      </c>
      <c r="G74" t="s">
        <v>531</v>
      </c>
      <c r="H74" t="s">
        <v>526</v>
      </c>
      <c r="I74" t="s">
        <v>532</v>
      </c>
      <c r="J74" t="s">
        <v>533</v>
      </c>
      <c r="K74" t="s">
        <v>534</v>
      </c>
      <c r="L74" t="s">
        <v>468</v>
      </c>
      <c r="M74" t="s">
        <v>45</v>
      </c>
      <c r="N74" t="s">
        <v>40</v>
      </c>
      <c r="O74" s="46" t="s">
        <v>44</v>
      </c>
      <c r="P74" s="46" t="s">
        <v>53</v>
      </c>
      <c r="Q74" s="18" t="str">
        <f t="shared" si="0"/>
        <v/>
      </c>
      <c r="R74" s="19" t="str">
        <f t="shared" ca="1" si="2"/>
        <v/>
      </c>
      <c r="S74" t="s">
        <v>783</v>
      </c>
      <c r="T74" t="s">
        <v>778</v>
      </c>
      <c r="U74" t="s">
        <v>146</v>
      </c>
      <c r="V74" t="s">
        <v>614</v>
      </c>
    </row>
    <row r="75" spans="1:22">
      <c r="A75" t="s">
        <v>535</v>
      </c>
      <c r="B75" t="s">
        <v>464</v>
      </c>
      <c r="C75" s="48">
        <v>46287</v>
      </c>
      <c r="D75" s="48">
        <v>46287</v>
      </c>
      <c r="E75" s="48">
        <v>46287</v>
      </c>
      <c r="F75" t="s">
        <v>524</v>
      </c>
      <c r="G75" t="s">
        <v>536</v>
      </c>
      <c r="H75" t="s">
        <v>526</v>
      </c>
      <c r="I75" t="s">
        <v>537</v>
      </c>
      <c r="J75" t="s">
        <v>538</v>
      </c>
      <c r="K75" t="s">
        <v>539</v>
      </c>
      <c r="L75" t="s">
        <v>468</v>
      </c>
      <c r="M75" t="s">
        <v>45</v>
      </c>
      <c r="N75" t="s">
        <v>40</v>
      </c>
      <c r="O75" s="46" t="s">
        <v>40</v>
      </c>
      <c r="P75" s="46" t="s">
        <v>51</v>
      </c>
      <c r="Q75" s="18">
        <f t="shared" ref="Q75:Q82" si="3">IF(E75="","",E75+1)</f>
        <v>46288</v>
      </c>
      <c r="R75" s="19">
        <f t="shared" ca="1" si="2"/>
        <v>21</v>
      </c>
      <c r="S75" t="s">
        <v>781</v>
      </c>
      <c r="T75" t="s">
        <v>782</v>
      </c>
      <c r="U75" t="s">
        <v>146</v>
      </c>
      <c r="V75" t="s">
        <v>540</v>
      </c>
    </row>
    <row r="76" spans="1:22">
      <c r="A76" t="s">
        <v>541</v>
      </c>
      <c r="B76" t="s">
        <v>464</v>
      </c>
      <c r="C76" s="48">
        <v>46287</v>
      </c>
      <c r="D76" s="48">
        <v>46287</v>
      </c>
      <c r="E76" s="48"/>
      <c r="F76" t="s">
        <v>524</v>
      </c>
      <c r="G76" t="s">
        <v>542</v>
      </c>
      <c r="H76" t="s">
        <v>526</v>
      </c>
      <c r="I76" t="s">
        <v>543</v>
      </c>
      <c r="J76" t="s">
        <v>544</v>
      </c>
      <c r="K76" t="s">
        <v>545</v>
      </c>
      <c r="L76" t="s">
        <v>468</v>
      </c>
      <c r="M76" t="s">
        <v>45</v>
      </c>
      <c r="N76" t="s">
        <v>40</v>
      </c>
      <c r="O76" s="46" t="s">
        <v>44</v>
      </c>
      <c r="P76" s="46" t="s">
        <v>53</v>
      </c>
      <c r="Q76" s="18" t="str">
        <f t="shared" si="3"/>
        <v/>
      </c>
      <c r="R76" s="19" t="str">
        <f t="shared" ca="1" si="2"/>
        <v/>
      </c>
      <c r="S76" t="s">
        <v>779</v>
      </c>
      <c r="T76" t="s">
        <v>778</v>
      </c>
      <c r="U76" t="s">
        <v>146</v>
      </c>
      <c r="V76" t="s">
        <v>614</v>
      </c>
    </row>
    <row r="77" spans="1:22">
      <c r="A77" t="s">
        <v>546</v>
      </c>
      <c r="B77" t="s">
        <v>464</v>
      </c>
      <c r="C77" s="48">
        <v>46287</v>
      </c>
      <c r="D77" s="48">
        <v>46287</v>
      </c>
      <c r="E77" s="48"/>
      <c r="F77" t="s">
        <v>524</v>
      </c>
      <c r="G77" t="s">
        <v>547</v>
      </c>
      <c r="H77" t="s">
        <v>526</v>
      </c>
      <c r="I77" t="s">
        <v>548</v>
      </c>
      <c r="J77" t="s">
        <v>549</v>
      </c>
      <c r="K77" t="s">
        <v>550</v>
      </c>
      <c r="L77" t="s">
        <v>468</v>
      </c>
      <c r="M77" t="s">
        <v>45</v>
      </c>
      <c r="N77" t="s">
        <v>40</v>
      </c>
      <c r="O77" s="46" t="s">
        <v>44</v>
      </c>
      <c r="P77" s="46" t="s">
        <v>53</v>
      </c>
      <c r="Q77" s="18" t="str">
        <f t="shared" si="3"/>
        <v/>
      </c>
      <c r="R77" s="19" t="str">
        <f t="shared" ca="1" si="2"/>
        <v/>
      </c>
      <c r="S77" t="s">
        <v>780</v>
      </c>
      <c r="T77" t="s">
        <v>778</v>
      </c>
      <c r="U77" t="s">
        <v>146</v>
      </c>
      <c r="V77" t="s">
        <v>614</v>
      </c>
    </row>
    <row r="78" spans="1:22">
      <c r="A78" t="s">
        <v>551</v>
      </c>
      <c r="B78" t="s">
        <v>464</v>
      </c>
      <c r="C78" s="48">
        <v>46287</v>
      </c>
      <c r="D78" s="48">
        <v>46287</v>
      </c>
      <c r="E78" s="48"/>
      <c r="F78" t="s">
        <v>524</v>
      </c>
      <c r="G78" t="s">
        <v>552</v>
      </c>
      <c r="H78" t="s">
        <v>526</v>
      </c>
      <c r="I78" t="s">
        <v>553</v>
      </c>
      <c r="J78" t="s">
        <v>554</v>
      </c>
      <c r="K78" t="s">
        <v>555</v>
      </c>
      <c r="L78" t="s">
        <v>468</v>
      </c>
      <c r="M78" t="s">
        <v>45</v>
      </c>
      <c r="N78" t="s">
        <v>40</v>
      </c>
      <c r="O78" s="46" t="s">
        <v>44</v>
      </c>
      <c r="P78" s="46" t="s">
        <v>53</v>
      </c>
      <c r="Q78" s="18" t="str">
        <f t="shared" si="3"/>
        <v/>
      </c>
      <c r="R78" s="19" t="str">
        <f t="shared" ca="1" si="2"/>
        <v/>
      </c>
      <c r="S78" t="s">
        <v>777</v>
      </c>
      <c r="T78" t="s">
        <v>778</v>
      </c>
      <c r="U78" t="s">
        <v>146</v>
      </c>
      <c r="V78" t="s">
        <v>614</v>
      </c>
    </row>
    <row r="79" spans="1:22">
      <c r="A79" t="s">
        <v>556</v>
      </c>
      <c r="B79" t="s">
        <v>464</v>
      </c>
      <c r="C79" s="48">
        <v>46287</v>
      </c>
      <c r="D79" s="48">
        <v>46287</v>
      </c>
      <c r="E79" s="48">
        <v>46287</v>
      </c>
      <c r="F79" t="s">
        <v>524</v>
      </c>
      <c r="G79" t="s">
        <v>557</v>
      </c>
      <c r="H79" t="s">
        <v>526</v>
      </c>
      <c r="I79" t="s">
        <v>558</v>
      </c>
      <c r="J79" t="s">
        <v>559</v>
      </c>
      <c r="K79" t="s">
        <v>560</v>
      </c>
      <c r="L79" t="s">
        <v>468</v>
      </c>
      <c r="M79" t="s">
        <v>45</v>
      </c>
      <c r="N79" t="s">
        <v>40</v>
      </c>
      <c r="O79" s="46" t="s">
        <v>40</v>
      </c>
      <c r="P79" s="46" t="s">
        <v>51</v>
      </c>
      <c r="Q79" s="18">
        <f t="shared" si="3"/>
        <v>46288</v>
      </c>
      <c r="R79" s="19">
        <f t="shared" ca="1" si="2"/>
        <v>21</v>
      </c>
      <c r="S79" t="s">
        <v>775</v>
      </c>
      <c r="T79" t="s">
        <v>776</v>
      </c>
      <c r="U79" t="s">
        <v>146</v>
      </c>
      <c r="V79" t="s">
        <v>561</v>
      </c>
    </row>
    <row r="80" spans="1:22">
      <c r="A80" t="s">
        <v>562</v>
      </c>
      <c r="B80" t="s">
        <v>464</v>
      </c>
      <c r="C80" s="48">
        <v>46287</v>
      </c>
      <c r="D80" s="48">
        <v>46287</v>
      </c>
      <c r="E80" s="48">
        <v>46287</v>
      </c>
      <c r="F80" t="s">
        <v>563</v>
      </c>
      <c r="G80" t="s">
        <v>564</v>
      </c>
      <c r="H80" t="s">
        <v>565</v>
      </c>
      <c r="I80" t="s">
        <v>566</v>
      </c>
      <c r="J80" t="s">
        <v>567</v>
      </c>
      <c r="K80" t="s">
        <v>568</v>
      </c>
      <c r="L80" t="s">
        <v>468</v>
      </c>
      <c r="M80" t="s">
        <v>41</v>
      </c>
      <c r="N80" t="s">
        <v>40</v>
      </c>
      <c r="O80" s="46" t="s">
        <v>40</v>
      </c>
      <c r="P80" s="46" t="s">
        <v>51</v>
      </c>
      <c r="Q80" s="18">
        <f t="shared" si="3"/>
        <v>46288</v>
      </c>
      <c r="R80" s="19">
        <f t="shared" ca="1" si="2"/>
        <v>21</v>
      </c>
      <c r="S80" t="s">
        <v>772</v>
      </c>
      <c r="T80" t="s">
        <v>773</v>
      </c>
      <c r="U80" s="48" t="s">
        <v>774</v>
      </c>
      <c r="V80" t="s">
        <v>569</v>
      </c>
    </row>
    <row r="81" spans="1:22">
      <c r="A81" t="s">
        <v>570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571</v>
      </c>
      <c r="H81" t="s">
        <v>504</v>
      </c>
      <c r="I81" t="s">
        <v>572</v>
      </c>
      <c r="J81" t="s">
        <v>573</v>
      </c>
      <c r="K81" t="s">
        <v>574</v>
      </c>
      <c r="L81" t="s">
        <v>468</v>
      </c>
      <c r="M81" t="s">
        <v>45</v>
      </c>
      <c r="N81" t="s">
        <v>40</v>
      </c>
      <c r="O81" s="46" t="s">
        <v>40</v>
      </c>
      <c r="P81" s="46" t="s">
        <v>51</v>
      </c>
      <c r="Q81" s="18">
        <f t="shared" si="3"/>
        <v>46288</v>
      </c>
      <c r="R81" s="19">
        <f t="shared" ca="1" si="2"/>
        <v>21</v>
      </c>
      <c r="S81" t="s">
        <v>771</v>
      </c>
      <c r="T81" t="s">
        <v>770</v>
      </c>
      <c r="U81" s="48">
        <v>46322</v>
      </c>
      <c r="V81" t="s">
        <v>575</v>
      </c>
    </row>
    <row r="82" spans="1:22">
      <c r="A82" t="s">
        <v>576</v>
      </c>
      <c r="B82" t="s">
        <v>464</v>
      </c>
      <c r="C82" s="48">
        <v>46287</v>
      </c>
      <c r="D82" s="48">
        <v>46287</v>
      </c>
      <c r="E82" s="48">
        <v>46287</v>
      </c>
      <c r="F82" t="s">
        <v>577</v>
      </c>
      <c r="G82" t="s">
        <v>146</v>
      </c>
      <c r="H82" t="s">
        <v>138</v>
      </c>
      <c r="I82" t="s">
        <v>578</v>
      </c>
      <c r="J82" t="s">
        <v>513</v>
      </c>
      <c r="K82" t="s">
        <v>579</v>
      </c>
      <c r="L82" t="s">
        <v>468</v>
      </c>
      <c r="M82" t="s">
        <v>41</v>
      </c>
      <c r="N82" t="s">
        <v>40</v>
      </c>
      <c r="O82" s="46" t="s">
        <v>40</v>
      </c>
      <c r="P82" s="46" t="s">
        <v>51</v>
      </c>
      <c r="Q82" s="18">
        <f t="shared" si="3"/>
        <v>46288</v>
      </c>
      <c r="R82" s="19">
        <f t="shared" ca="1" si="2"/>
        <v>21</v>
      </c>
      <c r="S82" t="s">
        <v>769</v>
      </c>
      <c r="T82" t="s">
        <v>768</v>
      </c>
      <c r="U82" t="s">
        <v>146</v>
      </c>
      <c r="V82" t="s">
        <v>580</v>
      </c>
    </row>
    <row r="83" spans="1:22">
      <c r="A83" s="10" t="s">
        <v>633</v>
      </c>
      <c r="B83" s="11" t="s">
        <v>215</v>
      </c>
      <c r="C83" s="12">
        <v>46295</v>
      </c>
      <c r="D83" s="12">
        <v>46295</v>
      </c>
      <c r="E83" s="12">
        <v>46295</v>
      </c>
      <c r="F83" s="43" t="s">
        <v>634</v>
      </c>
      <c r="G83" s="43" t="s">
        <v>635</v>
      </c>
      <c r="H83" s="11" t="s">
        <v>408</v>
      </c>
      <c r="I83" s="11" t="s">
        <v>426</v>
      </c>
      <c r="J83" s="11" t="s">
        <v>636</v>
      </c>
      <c r="K83" s="11" t="s">
        <v>637</v>
      </c>
      <c r="L83" s="11" t="s">
        <v>638</v>
      </c>
      <c r="M83" s="11" t="s">
        <v>45</v>
      </c>
      <c r="N83" s="11" t="s">
        <v>40</v>
      </c>
      <c r="O83" s="11" t="s">
        <v>40</v>
      </c>
      <c r="P83" s="11" t="s">
        <v>51</v>
      </c>
      <c r="Q83" s="18">
        <f t="shared" ref="Q83:Q104" si="4">IF(E83="","",E83+1)</f>
        <v>46296</v>
      </c>
      <c r="R83" s="19">
        <f t="shared" ref="R83:R104" ca="1" si="5">IF(E83="","",TODAY()-E83)</f>
        <v>13</v>
      </c>
      <c r="S83" s="43" t="s">
        <v>651</v>
      </c>
      <c r="T83" s="43" t="s">
        <v>652</v>
      </c>
      <c r="U83" s="7"/>
      <c r="V83" s="41" t="s">
        <v>639</v>
      </c>
    </row>
    <row r="84" spans="1:22">
      <c r="A84" s="10" t="s">
        <v>640</v>
      </c>
      <c r="B84" s="11" t="s">
        <v>215</v>
      </c>
      <c r="C84" s="12">
        <v>46295</v>
      </c>
      <c r="D84" s="12">
        <v>46295</v>
      </c>
      <c r="E84" s="12">
        <v>46295</v>
      </c>
      <c r="F84" s="43" t="s">
        <v>634</v>
      </c>
      <c r="G84" s="43" t="s">
        <v>445</v>
      </c>
      <c r="H84" s="11" t="s">
        <v>408</v>
      </c>
      <c r="I84" s="11" t="s">
        <v>446</v>
      </c>
      <c r="J84" s="11" t="s">
        <v>641</v>
      </c>
      <c r="K84" s="11" t="s">
        <v>642</v>
      </c>
      <c r="L84" s="11" t="s">
        <v>638</v>
      </c>
      <c r="M84" s="11" t="s">
        <v>45</v>
      </c>
      <c r="N84" s="11" t="s">
        <v>40</v>
      </c>
      <c r="O84" s="11" t="s">
        <v>40</v>
      </c>
      <c r="P84" s="11" t="s">
        <v>51</v>
      </c>
      <c r="Q84" s="18">
        <f t="shared" si="4"/>
        <v>46296</v>
      </c>
      <c r="R84" s="19">
        <f t="shared" ca="1" si="5"/>
        <v>13</v>
      </c>
      <c r="S84" s="43" t="s">
        <v>654</v>
      </c>
      <c r="T84" s="43" t="s">
        <v>653</v>
      </c>
      <c r="U84" s="7"/>
      <c r="V84" s="41" t="s">
        <v>639</v>
      </c>
    </row>
    <row r="85" spans="1:22">
      <c r="A85" s="10" t="s">
        <v>643</v>
      </c>
      <c r="B85" s="11" t="s">
        <v>215</v>
      </c>
      <c r="C85" s="12">
        <v>46295</v>
      </c>
      <c r="D85" s="12">
        <v>46295</v>
      </c>
      <c r="E85" s="12">
        <v>46295</v>
      </c>
      <c r="F85" s="43" t="s">
        <v>634</v>
      </c>
      <c r="G85" s="43" t="s">
        <v>440</v>
      </c>
      <c r="H85" s="11" t="s">
        <v>408</v>
      </c>
      <c r="I85" s="11" t="s">
        <v>441</v>
      </c>
      <c r="J85" s="11" t="s">
        <v>644</v>
      </c>
      <c r="K85" s="11" t="s">
        <v>645</v>
      </c>
      <c r="L85" s="11" t="s">
        <v>638</v>
      </c>
      <c r="M85" s="11" t="s">
        <v>45</v>
      </c>
      <c r="N85" s="11" t="s">
        <v>40</v>
      </c>
      <c r="O85" s="11" t="s">
        <v>40</v>
      </c>
      <c r="P85" s="11" t="s">
        <v>51</v>
      </c>
      <c r="Q85" s="18">
        <f t="shared" si="4"/>
        <v>46296</v>
      </c>
      <c r="R85" s="19">
        <f t="shared" ca="1" si="5"/>
        <v>13</v>
      </c>
      <c r="S85" s="43" t="s">
        <v>655</v>
      </c>
      <c r="T85" s="43" t="s">
        <v>656</v>
      </c>
      <c r="U85" s="7">
        <v>46308</v>
      </c>
      <c r="V85" s="41" t="s">
        <v>639</v>
      </c>
    </row>
    <row r="86" spans="1:22">
      <c r="A86" s="10" t="s">
        <v>646</v>
      </c>
      <c r="B86" s="11" t="s">
        <v>215</v>
      </c>
      <c r="C86" s="12">
        <v>46295</v>
      </c>
      <c r="D86" s="12">
        <v>46295</v>
      </c>
      <c r="E86" s="12">
        <v>46295</v>
      </c>
      <c r="F86" s="43" t="s">
        <v>647</v>
      </c>
      <c r="G86" s="43" t="s">
        <v>648</v>
      </c>
      <c r="H86" s="11" t="s">
        <v>408</v>
      </c>
      <c r="I86" s="11" t="s">
        <v>649</v>
      </c>
      <c r="J86" s="11" t="s">
        <v>657</v>
      </c>
      <c r="K86" s="11" t="s">
        <v>658</v>
      </c>
      <c r="L86" s="11" t="s">
        <v>650</v>
      </c>
      <c r="M86" s="11" t="s">
        <v>45</v>
      </c>
      <c r="N86" s="11" t="s">
        <v>40</v>
      </c>
      <c r="O86" s="11" t="s">
        <v>40</v>
      </c>
      <c r="P86" s="11" t="s">
        <v>51</v>
      </c>
      <c r="Q86" s="18">
        <f t="shared" si="4"/>
        <v>46296</v>
      </c>
      <c r="R86" s="19">
        <f t="shared" ca="1" si="5"/>
        <v>13</v>
      </c>
      <c r="S86" s="43" t="s">
        <v>766</v>
      </c>
      <c r="T86" s="43" t="s">
        <v>767</v>
      </c>
      <c r="U86" s="7" t="s">
        <v>146</v>
      </c>
      <c r="V86" s="41" t="s">
        <v>659</v>
      </c>
    </row>
    <row r="87" spans="1:22">
      <c r="A87" s="10" t="s">
        <v>660</v>
      </c>
      <c r="B87" s="11" t="s">
        <v>661</v>
      </c>
      <c r="C87" s="12">
        <v>46308</v>
      </c>
      <c r="D87" s="12">
        <v>46308</v>
      </c>
      <c r="E87" s="12">
        <v>46308</v>
      </c>
      <c r="F87" s="43" t="s">
        <v>264</v>
      </c>
      <c r="G87" s="43" t="s">
        <v>662</v>
      </c>
      <c r="H87" s="11" t="s">
        <v>38</v>
      </c>
      <c r="I87" s="50">
        <v>0.54</v>
      </c>
      <c r="J87" s="11" t="s">
        <v>663</v>
      </c>
      <c r="K87" s="11" t="s">
        <v>664</v>
      </c>
      <c r="L87" s="11" t="s">
        <v>665</v>
      </c>
      <c r="M87" s="11" t="s">
        <v>45</v>
      </c>
      <c r="N87" s="11" t="s">
        <v>40</v>
      </c>
      <c r="O87" s="11" t="s">
        <v>40</v>
      </c>
      <c r="P87" s="11" t="s">
        <v>47</v>
      </c>
      <c r="Q87" s="18">
        <f t="shared" si="4"/>
        <v>46309</v>
      </c>
      <c r="R87" s="19">
        <f t="shared" ca="1" si="5"/>
        <v>0</v>
      </c>
      <c r="S87" s="43"/>
      <c r="T87" s="43"/>
      <c r="U87" s="7" t="s">
        <v>666</v>
      </c>
      <c r="V87" s="41" t="s">
        <v>667</v>
      </c>
    </row>
    <row r="88" spans="1:22">
      <c r="A88" s="10" t="s">
        <v>668</v>
      </c>
      <c r="B88" s="11" t="s">
        <v>661</v>
      </c>
      <c r="C88" s="12">
        <v>46308</v>
      </c>
      <c r="D88" s="12">
        <v>46308</v>
      </c>
      <c r="E88" s="12">
        <v>46308</v>
      </c>
      <c r="F88" s="43" t="s">
        <v>264</v>
      </c>
      <c r="G88" s="43" t="s">
        <v>669</v>
      </c>
      <c r="H88" s="11" t="s">
        <v>38</v>
      </c>
      <c r="I88" s="50">
        <v>0.45</v>
      </c>
      <c r="J88" s="11" t="s">
        <v>304</v>
      </c>
      <c r="K88" s="11" t="s">
        <v>670</v>
      </c>
      <c r="L88" s="11" t="s">
        <v>665</v>
      </c>
      <c r="M88" s="11" t="s">
        <v>45</v>
      </c>
      <c r="N88" s="11" t="s">
        <v>40</v>
      </c>
      <c r="O88" s="11" t="s">
        <v>40</v>
      </c>
      <c r="P88" s="11" t="s">
        <v>47</v>
      </c>
      <c r="Q88" s="18">
        <f t="shared" si="4"/>
        <v>46309</v>
      </c>
      <c r="R88" s="19">
        <f t="shared" ca="1" si="5"/>
        <v>0</v>
      </c>
      <c r="S88" s="43"/>
      <c r="T88" s="43"/>
      <c r="U88" s="7" t="s">
        <v>666</v>
      </c>
      <c r="V88" s="41" t="s">
        <v>671</v>
      </c>
    </row>
    <row r="89" spans="1:22">
      <c r="A89" s="10" t="s">
        <v>672</v>
      </c>
      <c r="B89" s="11" t="s">
        <v>661</v>
      </c>
      <c r="C89" s="12">
        <v>46308</v>
      </c>
      <c r="D89" s="12">
        <v>46308</v>
      </c>
      <c r="E89" s="12">
        <v>46308</v>
      </c>
      <c r="F89" s="43" t="s">
        <v>270</v>
      </c>
      <c r="G89" s="43" t="s">
        <v>673</v>
      </c>
      <c r="H89" s="11" t="s">
        <v>52</v>
      </c>
      <c r="I89" s="11" t="s">
        <v>674</v>
      </c>
      <c r="J89" s="11" t="s">
        <v>477</v>
      </c>
      <c r="K89" s="11" t="s">
        <v>675</v>
      </c>
      <c r="L89" s="11" t="s">
        <v>665</v>
      </c>
      <c r="M89" s="11" t="s">
        <v>41</v>
      </c>
      <c r="N89" s="11" t="s">
        <v>40</v>
      </c>
      <c r="O89" s="11" t="s">
        <v>40</v>
      </c>
      <c r="P89" s="11" t="s">
        <v>47</v>
      </c>
      <c r="Q89" s="18">
        <f t="shared" si="4"/>
        <v>46309</v>
      </c>
      <c r="R89" s="19">
        <f t="shared" ca="1" si="5"/>
        <v>0</v>
      </c>
      <c r="S89" s="43"/>
      <c r="T89" s="43"/>
      <c r="U89" s="7" t="s">
        <v>666</v>
      </c>
      <c r="V89" s="41" t="s">
        <v>676</v>
      </c>
    </row>
    <row r="90" spans="1:22">
      <c r="A90" s="10" t="s">
        <v>677</v>
      </c>
      <c r="B90" s="11" t="s">
        <v>661</v>
      </c>
      <c r="C90" s="12">
        <v>46308</v>
      </c>
      <c r="D90" s="12">
        <v>46308</v>
      </c>
      <c r="E90" s="12">
        <v>46308</v>
      </c>
      <c r="F90" s="43" t="s">
        <v>264</v>
      </c>
      <c r="G90" s="43" t="s">
        <v>678</v>
      </c>
      <c r="H90" s="11" t="s">
        <v>61</v>
      </c>
      <c r="I90" s="11" t="s">
        <v>679</v>
      </c>
      <c r="J90" s="11" t="s">
        <v>680</v>
      </c>
      <c r="K90" s="11" t="s">
        <v>681</v>
      </c>
      <c r="L90" s="11" t="s">
        <v>665</v>
      </c>
      <c r="M90" s="11" t="s">
        <v>45</v>
      </c>
      <c r="N90" s="11" t="s">
        <v>40</v>
      </c>
      <c r="O90" s="11" t="s">
        <v>40</v>
      </c>
      <c r="P90" s="11" t="s">
        <v>47</v>
      </c>
      <c r="Q90" s="18">
        <f t="shared" si="4"/>
        <v>46309</v>
      </c>
      <c r="R90" s="19">
        <f t="shared" ca="1" si="5"/>
        <v>0</v>
      </c>
      <c r="S90" s="43"/>
      <c r="T90" s="43"/>
      <c r="U90" s="7" t="s">
        <v>666</v>
      </c>
      <c r="V90" s="41" t="s">
        <v>682</v>
      </c>
    </row>
    <row r="91" spans="1:22">
      <c r="A91" s="10" t="s">
        <v>683</v>
      </c>
      <c r="B91" s="11" t="s">
        <v>661</v>
      </c>
      <c r="C91" s="12">
        <v>46308</v>
      </c>
      <c r="D91" s="12">
        <v>46308</v>
      </c>
      <c r="E91" s="12">
        <v>46308</v>
      </c>
      <c r="F91" s="43" t="s">
        <v>264</v>
      </c>
      <c r="G91" s="43" t="s">
        <v>684</v>
      </c>
      <c r="H91" s="11" t="s">
        <v>60</v>
      </c>
      <c r="I91" s="11" t="s">
        <v>679</v>
      </c>
      <c r="J91" s="11" t="s">
        <v>685</v>
      </c>
      <c r="K91" s="11" t="s">
        <v>686</v>
      </c>
      <c r="L91" s="11" t="s">
        <v>665</v>
      </c>
      <c r="M91" s="11" t="s">
        <v>41</v>
      </c>
      <c r="N91" s="11" t="s">
        <v>40</v>
      </c>
      <c r="O91" s="11" t="s">
        <v>40</v>
      </c>
      <c r="P91" s="11" t="s">
        <v>47</v>
      </c>
      <c r="Q91" s="18">
        <f t="shared" si="4"/>
        <v>46309</v>
      </c>
      <c r="R91" s="19">
        <f t="shared" ca="1" si="5"/>
        <v>0</v>
      </c>
      <c r="S91" s="43"/>
      <c r="T91" s="43"/>
      <c r="U91" s="7" t="s">
        <v>666</v>
      </c>
      <c r="V91" s="41"/>
    </row>
    <row r="92" spans="1:22">
      <c r="A92" s="10" t="s">
        <v>687</v>
      </c>
      <c r="B92" s="11" t="s">
        <v>661</v>
      </c>
      <c r="C92" s="12">
        <v>46308</v>
      </c>
      <c r="D92" s="12">
        <v>46308</v>
      </c>
      <c r="E92" s="12">
        <v>46308</v>
      </c>
      <c r="F92" s="43" t="s">
        <v>688</v>
      </c>
      <c r="G92" s="43" t="s">
        <v>689</v>
      </c>
      <c r="H92" s="11" t="s">
        <v>690</v>
      </c>
      <c r="I92" s="11" t="s">
        <v>691</v>
      </c>
      <c r="J92" s="11" t="s">
        <v>692</v>
      </c>
      <c r="K92" s="11" t="s">
        <v>693</v>
      </c>
      <c r="L92" s="11" t="s">
        <v>665</v>
      </c>
      <c r="M92" s="11" t="s">
        <v>41</v>
      </c>
      <c r="N92" s="11" t="s">
        <v>40</v>
      </c>
      <c r="O92" s="11" t="s">
        <v>40</v>
      </c>
      <c r="P92" s="11" t="s">
        <v>47</v>
      </c>
      <c r="Q92" s="18">
        <f t="shared" si="4"/>
        <v>46309</v>
      </c>
      <c r="R92" s="19">
        <f t="shared" ca="1" si="5"/>
        <v>0</v>
      </c>
      <c r="S92" s="43"/>
      <c r="T92" s="43"/>
      <c r="U92" s="7" t="s">
        <v>666</v>
      </c>
      <c r="V92" s="41" t="s">
        <v>694</v>
      </c>
    </row>
    <row r="93" spans="1:22">
      <c r="A93" s="10" t="s">
        <v>695</v>
      </c>
      <c r="B93" s="11" t="s">
        <v>661</v>
      </c>
      <c r="C93" s="12">
        <v>46308</v>
      </c>
      <c r="D93" s="12">
        <v>46308</v>
      </c>
      <c r="E93" s="12">
        <v>46308</v>
      </c>
      <c r="F93" s="43" t="s">
        <v>696</v>
      </c>
      <c r="G93" s="43" t="s">
        <v>697</v>
      </c>
      <c r="H93" s="11" t="s">
        <v>62</v>
      </c>
      <c r="I93" s="11" t="s">
        <v>698</v>
      </c>
      <c r="J93" s="11" t="s">
        <v>699</v>
      </c>
      <c r="K93" s="11" t="s">
        <v>700</v>
      </c>
      <c r="L93" s="11" t="s">
        <v>665</v>
      </c>
      <c r="M93" s="11" t="s">
        <v>45</v>
      </c>
      <c r="N93" s="11" t="s">
        <v>40</v>
      </c>
      <c r="O93" s="11" t="s">
        <v>40</v>
      </c>
      <c r="P93" s="11" t="s">
        <v>47</v>
      </c>
      <c r="Q93" s="18">
        <f t="shared" si="4"/>
        <v>46309</v>
      </c>
      <c r="R93" s="19">
        <f t="shared" ca="1" si="5"/>
        <v>0</v>
      </c>
      <c r="S93" s="43"/>
      <c r="T93" s="43"/>
      <c r="U93" s="7" t="s">
        <v>666</v>
      </c>
      <c r="V93" s="41" t="s">
        <v>701</v>
      </c>
    </row>
    <row r="94" spans="1:22">
      <c r="A94" s="10" t="s">
        <v>702</v>
      </c>
      <c r="B94" s="11" t="s">
        <v>661</v>
      </c>
      <c r="C94" s="12">
        <v>46308</v>
      </c>
      <c r="D94" s="12">
        <v>46308</v>
      </c>
      <c r="E94" s="12">
        <v>46308</v>
      </c>
      <c r="F94" s="43" t="s">
        <v>272</v>
      </c>
      <c r="G94" s="43" t="s">
        <v>703</v>
      </c>
      <c r="H94" s="11" t="s">
        <v>38</v>
      </c>
      <c r="I94" s="50">
        <v>1.1000000000000001</v>
      </c>
      <c r="J94" s="11" t="s">
        <v>704</v>
      </c>
      <c r="K94" s="11" t="s">
        <v>705</v>
      </c>
      <c r="L94" s="11" t="s">
        <v>665</v>
      </c>
      <c r="M94" s="11" t="s">
        <v>45</v>
      </c>
      <c r="N94" s="11" t="s">
        <v>40</v>
      </c>
      <c r="O94" s="11" t="s">
        <v>40</v>
      </c>
      <c r="P94" s="11" t="s">
        <v>47</v>
      </c>
      <c r="Q94" s="18">
        <f t="shared" si="4"/>
        <v>46309</v>
      </c>
      <c r="R94" s="19">
        <f t="shared" ca="1" si="5"/>
        <v>0</v>
      </c>
      <c r="S94" s="43"/>
      <c r="T94" s="43"/>
      <c r="U94" s="7" t="s">
        <v>666</v>
      </c>
      <c r="V94" s="41" t="s">
        <v>706</v>
      </c>
    </row>
    <row r="95" spans="1:22">
      <c r="A95" s="10" t="s">
        <v>707</v>
      </c>
      <c r="B95" s="11" t="s">
        <v>661</v>
      </c>
      <c r="C95" s="12">
        <v>46308</v>
      </c>
      <c r="D95" s="12">
        <v>46308</v>
      </c>
      <c r="E95" s="12">
        <v>46308</v>
      </c>
      <c r="F95" s="43" t="s">
        <v>272</v>
      </c>
      <c r="G95" s="43" t="s">
        <v>708</v>
      </c>
      <c r="H95" s="11" t="s">
        <v>38</v>
      </c>
      <c r="I95" s="50">
        <v>0.9</v>
      </c>
      <c r="J95" s="11" t="s">
        <v>709</v>
      </c>
      <c r="K95" s="11" t="s">
        <v>710</v>
      </c>
      <c r="L95" s="11" t="s">
        <v>711</v>
      </c>
      <c r="M95" s="11" t="s">
        <v>41</v>
      </c>
      <c r="N95" s="11" t="s">
        <v>40</v>
      </c>
      <c r="O95" s="11" t="s">
        <v>40</v>
      </c>
      <c r="P95" s="11" t="s">
        <v>47</v>
      </c>
      <c r="Q95" s="18">
        <f t="shared" si="4"/>
        <v>46309</v>
      </c>
      <c r="R95" s="19">
        <f t="shared" ca="1" si="5"/>
        <v>0</v>
      </c>
      <c r="S95" s="43"/>
      <c r="T95" s="43"/>
      <c r="U95" s="7" t="s">
        <v>666</v>
      </c>
      <c r="V95" s="41" t="s">
        <v>712</v>
      </c>
    </row>
    <row r="96" spans="1:22">
      <c r="A96" s="10" t="s">
        <v>713</v>
      </c>
      <c r="B96" s="11" t="s">
        <v>661</v>
      </c>
      <c r="C96" s="12">
        <v>46308</v>
      </c>
      <c r="D96" s="12">
        <v>46308</v>
      </c>
      <c r="E96" s="12">
        <v>46308</v>
      </c>
      <c r="F96" s="43" t="s">
        <v>714</v>
      </c>
      <c r="G96" s="43" t="s">
        <v>715</v>
      </c>
      <c r="H96" s="11" t="s">
        <v>38</v>
      </c>
      <c r="I96" s="50">
        <v>2.6</v>
      </c>
      <c r="J96" s="11" t="s">
        <v>716</v>
      </c>
      <c r="K96" s="11" t="s">
        <v>717</v>
      </c>
      <c r="L96" s="11" t="s">
        <v>711</v>
      </c>
      <c r="M96" s="11" t="s">
        <v>49</v>
      </c>
      <c r="N96" s="11" t="s">
        <v>40</v>
      </c>
      <c r="O96" s="11" t="s">
        <v>40</v>
      </c>
      <c r="P96" s="11" t="s">
        <v>47</v>
      </c>
      <c r="Q96" s="18">
        <f t="shared" si="4"/>
        <v>46309</v>
      </c>
      <c r="R96" s="19">
        <f t="shared" ca="1" si="5"/>
        <v>0</v>
      </c>
      <c r="S96" s="43"/>
      <c r="T96" s="43"/>
      <c r="U96" s="7" t="s">
        <v>666</v>
      </c>
      <c r="V96" s="41" t="s">
        <v>718</v>
      </c>
    </row>
    <row r="97" spans="1:22">
      <c r="A97" s="10" t="s">
        <v>719</v>
      </c>
      <c r="B97" s="11" t="s">
        <v>661</v>
      </c>
      <c r="C97" s="12">
        <v>46308</v>
      </c>
      <c r="D97" s="12">
        <v>46308</v>
      </c>
      <c r="E97" s="12">
        <v>46308</v>
      </c>
      <c r="F97" s="43" t="s">
        <v>720</v>
      </c>
      <c r="G97" s="43" t="s">
        <v>721</v>
      </c>
      <c r="H97" s="11" t="s">
        <v>38</v>
      </c>
      <c r="I97" s="50">
        <v>1.6</v>
      </c>
      <c r="J97" s="11" t="s">
        <v>722</v>
      </c>
      <c r="K97" s="11" t="s">
        <v>723</v>
      </c>
      <c r="L97" s="11" t="s">
        <v>711</v>
      </c>
      <c r="M97" s="11" t="s">
        <v>49</v>
      </c>
      <c r="N97" s="11" t="s">
        <v>40</v>
      </c>
      <c r="O97" s="11" t="s">
        <v>40</v>
      </c>
      <c r="P97" s="11" t="s">
        <v>47</v>
      </c>
      <c r="Q97" s="18">
        <f t="shared" si="4"/>
        <v>46309</v>
      </c>
      <c r="R97" s="19">
        <f t="shared" ca="1" si="5"/>
        <v>0</v>
      </c>
      <c r="S97" s="43"/>
      <c r="T97" s="43"/>
      <c r="U97" s="7" t="s">
        <v>666</v>
      </c>
      <c r="V97" s="41" t="s">
        <v>724</v>
      </c>
    </row>
    <row r="98" spans="1:22">
      <c r="A98" s="10" t="s">
        <v>725</v>
      </c>
      <c r="B98" s="11" t="s">
        <v>661</v>
      </c>
      <c r="C98" s="12">
        <v>46308</v>
      </c>
      <c r="D98" s="12">
        <v>46308</v>
      </c>
      <c r="E98" s="12">
        <v>46308</v>
      </c>
      <c r="F98" s="43" t="s">
        <v>726</v>
      </c>
      <c r="G98" s="43" t="s">
        <v>727</v>
      </c>
      <c r="H98" s="11" t="s">
        <v>38</v>
      </c>
      <c r="I98" s="50">
        <v>1.2</v>
      </c>
      <c r="J98" s="11" t="s">
        <v>728</v>
      </c>
      <c r="K98" s="11" t="s">
        <v>729</v>
      </c>
      <c r="L98" s="11" t="s">
        <v>711</v>
      </c>
      <c r="M98" s="11" t="s">
        <v>49</v>
      </c>
      <c r="N98" s="11" t="s">
        <v>40</v>
      </c>
      <c r="O98" s="11" t="s">
        <v>40</v>
      </c>
      <c r="P98" s="11" t="s">
        <v>47</v>
      </c>
      <c r="Q98" s="18">
        <f t="shared" si="4"/>
        <v>46309</v>
      </c>
      <c r="R98" s="19">
        <f t="shared" ca="1" si="5"/>
        <v>0</v>
      </c>
      <c r="S98" s="43"/>
      <c r="T98" s="43"/>
      <c r="U98" s="7" t="s">
        <v>666</v>
      </c>
      <c r="V98" s="41" t="s">
        <v>730</v>
      </c>
    </row>
    <row r="99" spans="1:22">
      <c r="A99" s="10" t="s">
        <v>731</v>
      </c>
      <c r="B99" s="11" t="s">
        <v>661</v>
      </c>
      <c r="C99" s="12">
        <v>46308</v>
      </c>
      <c r="D99" s="12">
        <v>46308</v>
      </c>
      <c r="E99" s="12">
        <v>46308</v>
      </c>
      <c r="F99" s="43" t="s">
        <v>732</v>
      </c>
      <c r="G99" s="43" t="s">
        <v>733</v>
      </c>
      <c r="H99" s="11" t="s">
        <v>38</v>
      </c>
      <c r="I99" s="50">
        <v>1.2</v>
      </c>
      <c r="J99" s="11" t="s">
        <v>728</v>
      </c>
      <c r="K99" s="11" t="s">
        <v>734</v>
      </c>
      <c r="L99" s="11" t="s">
        <v>711</v>
      </c>
      <c r="M99" s="11" t="s">
        <v>49</v>
      </c>
      <c r="N99" s="11" t="s">
        <v>40</v>
      </c>
      <c r="O99" s="11" t="s">
        <v>40</v>
      </c>
      <c r="P99" s="11" t="s">
        <v>47</v>
      </c>
      <c r="Q99" s="18">
        <f t="shared" si="4"/>
        <v>46309</v>
      </c>
      <c r="R99" s="19">
        <f t="shared" ca="1" si="5"/>
        <v>0</v>
      </c>
      <c r="S99" s="43"/>
      <c r="T99" s="43"/>
      <c r="U99" s="7" t="s">
        <v>666</v>
      </c>
      <c r="V99" s="41" t="s">
        <v>735</v>
      </c>
    </row>
    <row r="100" spans="1:22">
      <c r="A100" s="10" t="s">
        <v>736</v>
      </c>
      <c r="B100" s="11" t="s">
        <v>661</v>
      </c>
      <c r="C100" s="12">
        <v>46308</v>
      </c>
      <c r="D100" s="12">
        <v>46308</v>
      </c>
      <c r="E100" s="12">
        <v>46308</v>
      </c>
      <c r="F100" s="43" t="s">
        <v>696</v>
      </c>
      <c r="G100" s="43" t="s">
        <v>737</v>
      </c>
      <c r="H100" s="11" t="s">
        <v>38</v>
      </c>
      <c r="I100" s="50">
        <v>1.5</v>
      </c>
      <c r="J100" s="11" t="s">
        <v>738</v>
      </c>
      <c r="K100" s="11" t="s">
        <v>739</v>
      </c>
      <c r="L100" s="11" t="s">
        <v>711</v>
      </c>
      <c r="M100" s="11" t="s">
        <v>49</v>
      </c>
      <c r="N100" s="11" t="s">
        <v>40</v>
      </c>
      <c r="O100" s="11" t="s">
        <v>40</v>
      </c>
      <c r="P100" s="11" t="s">
        <v>47</v>
      </c>
      <c r="Q100" s="18">
        <f t="shared" si="4"/>
        <v>46309</v>
      </c>
      <c r="R100" s="19">
        <f t="shared" ca="1" si="5"/>
        <v>0</v>
      </c>
      <c r="S100" s="43"/>
      <c r="T100" s="43"/>
      <c r="U100" s="7" t="s">
        <v>666</v>
      </c>
      <c r="V100" s="41" t="s">
        <v>740</v>
      </c>
    </row>
    <row r="101" spans="1:22">
      <c r="A101" s="10" t="s">
        <v>741</v>
      </c>
      <c r="B101" s="11" t="s">
        <v>661</v>
      </c>
      <c r="C101" s="12">
        <v>46308</v>
      </c>
      <c r="D101" s="12">
        <v>46308</v>
      </c>
      <c r="E101" s="12">
        <v>46308</v>
      </c>
      <c r="F101" s="43" t="s">
        <v>742</v>
      </c>
      <c r="G101" s="43" t="s">
        <v>116</v>
      </c>
      <c r="H101" s="11" t="s">
        <v>38</v>
      </c>
      <c r="I101" s="50">
        <v>1.32</v>
      </c>
      <c r="J101" s="11" t="s">
        <v>743</v>
      </c>
      <c r="K101" s="11" t="s">
        <v>744</v>
      </c>
      <c r="L101" s="11" t="s">
        <v>711</v>
      </c>
      <c r="M101" s="11" t="s">
        <v>49</v>
      </c>
      <c r="N101" s="11" t="s">
        <v>40</v>
      </c>
      <c r="O101" s="11" t="s">
        <v>40</v>
      </c>
      <c r="P101" s="11" t="s">
        <v>47</v>
      </c>
      <c r="Q101" s="18">
        <f t="shared" si="4"/>
        <v>46309</v>
      </c>
      <c r="R101" s="19">
        <f t="shared" ca="1" si="5"/>
        <v>0</v>
      </c>
      <c r="S101" s="43"/>
      <c r="T101" s="43"/>
      <c r="U101" s="7" t="s">
        <v>666</v>
      </c>
      <c r="V101" s="41" t="s">
        <v>745</v>
      </c>
    </row>
    <row r="102" spans="1:22">
      <c r="A102" s="10" t="s">
        <v>746</v>
      </c>
      <c r="B102" s="11" t="s">
        <v>661</v>
      </c>
      <c r="C102" s="12">
        <v>46308</v>
      </c>
      <c r="D102" s="12">
        <v>46308</v>
      </c>
      <c r="E102" s="12">
        <v>46308</v>
      </c>
      <c r="F102" s="43" t="s">
        <v>272</v>
      </c>
      <c r="G102" s="43" t="s">
        <v>276</v>
      </c>
      <c r="H102" s="11" t="s">
        <v>46</v>
      </c>
      <c r="I102" s="51">
        <v>40</v>
      </c>
      <c r="J102" s="11" t="s">
        <v>747</v>
      </c>
      <c r="K102" s="11" t="s">
        <v>748</v>
      </c>
      <c r="L102" s="11" t="s">
        <v>711</v>
      </c>
      <c r="M102" s="11" t="s">
        <v>49</v>
      </c>
      <c r="N102" s="11" t="s">
        <v>40</v>
      </c>
      <c r="O102" s="11" t="s">
        <v>40</v>
      </c>
      <c r="P102" s="11" t="s">
        <v>47</v>
      </c>
      <c r="Q102" s="18">
        <f t="shared" si="4"/>
        <v>46309</v>
      </c>
      <c r="R102" s="19">
        <f t="shared" ca="1" si="5"/>
        <v>0</v>
      </c>
      <c r="S102" s="43"/>
      <c r="T102" s="43"/>
      <c r="U102" s="7" t="s">
        <v>666</v>
      </c>
      <c r="V102" s="41" t="s">
        <v>749</v>
      </c>
    </row>
    <row r="103" spans="1:22">
      <c r="A103" s="10" t="s">
        <v>750</v>
      </c>
      <c r="B103" s="11" t="s">
        <v>661</v>
      </c>
      <c r="C103" s="12">
        <v>46308</v>
      </c>
      <c r="D103" s="12">
        <v>46308</v>
      </c>
      <c r="E103" s="12">
        <v>46308</v>
      </c>
      <c r="F103" s="43" t="s">
        <v>270</v>
      </c>
      <c r="G103" s="43" t="s">
        <v>276</v>
      </c>
      <c r="H103" s="11" t="s">
        <v>46</v>
      </c>
      <c r="I103" s="51">
        <v>20</v>
      </c>
      <c r="J103" s="11" t="s">
        <v>751</v>
      </c>
      <c r="K103" s="11" t="s">
        <v>752</v>
      </c>
      <c r="L103" s="11" t="s">
        <v>711</v>
      </c>
      <c r="M103" s="11" t="s">
        <v>49</v>
      </c>
      <c r="N103" s="11" t="s">
        <v>40</v>
      </c>
      <c r="O103" s="11" t="s">
        <v>40</v>
      </c>
      <c r="P103" s="11" t="s">
        <v>47</v>
      </c>
      <c r="Q103" s="18">
        <f t="shared" si="4"/>
        <v>46309</v>
      </c>
      <c r="R103" s="19">
        <f t="shared" ca="1" si="5"/>
        <v>0</v>
      </c>
      <c r="S103" s="43"/>
      <c r="T103" s="43"/>
      <c r="U103" s="7" t="s">
        <v>666</v>
      </c>
      <c r="V103" s="41" t="s">
        <v>753</v>
      </c>
    </row>
    <row r="104" spans="1:22">
      <c r="A104" s="10" t="s">
        <v>754</v>
      </c>
      <c r="B104" s="11" t="s">
        <v>661</v>
      </c>
      <c r="C104" s="12">
        <v>46308</v>
      </c>
      <c r="D104" s="12">
        <v>46308</v>
      </c>
      <c r="E104" s="12">
        <v>46308</v>
      </c>
      <c r="F104" s="43" t="s">
        <v>755</v>
      </c>
      <c r="G104" s="43" t="s">
        <v>756</v>
      </c>
      <c r="H104" s="11" t="s">
        <v>757</v>
      </c>
      <c r="I104" s="11" t="s">
        <v>758</v>
      </c>
      <c r="J104" s="11" t="s">
        <v>759</v>
      </c>
      <c r="K104" s="11" t="s">
        <v>760</v>
      </c>
      <c r="L104" s="11" t="s">
        <v>711</v>
      </c>
      <c r="M104" s="11" t="s">
        <v>41</v>
      </c>
      <c r="N104" s="11" t="s">
        <v>40</v>
      </c>
      <c r="O104" s="11" t="s">
        <v>40</v>
      </c>
      <c r="P104" s="11" t="s">
        <v>47</v>
      </c>
      <c r="Q104" s="18">
        <f t="shared" si="4"/>
        <v>46309</v>
      </c>
      <c r="R104" s="19">
        <f t="shared" ca="1" si="5"/>
        <v>0</v>
      </c>
      <c r="S104" s="43"/>
      <c r="T104" s="43"/>
      <c r="U104" s="7" t="s">
        <v>666</v>
      </c>
      <c r="V104" s="41" t="s">
        <v>761</v>
      </c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ref="Q105:Q136" si="6">IF(E105="","",E105+1)</f>
        <v/>
      </c>
      <c r="R105" s="19" t="str">
        <f t="shared" ref="R105:R136" ca="1" si="7">IF(E105="","",TODAY()-E105)</f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6"/>
        <v/>
      </c>
      <c r="R106" s="19" t="str">
        <f t="shared" ca="1" si="7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si="6"/>
        <v/>
      </c>
      <c r="R107" s="19" t="str">
        <f t="shared" ca="1" si="7"/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ref="Q137:Q168" si="8">IF(E137="","",E137+1)</f>
        <v/>
      </c>
      <c r="R137" s="19" t="str">
        <f t="shared" ref="R137:R168" ca="1" si="9">IF(E137="","",TODAY()-E137)</f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8"/>
        <v/>
      </c>
      <c r="R138" s="19" t="str">
        <f t="shared" ca="1" si="9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si="8"/>
        <v/>
      </c>
      <c r="R139" s="19" t="str">
        <f t="shared" ca="1" si="9"/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4"/>
      <c r="J158" s="24"/>
      <c r="K158" s="24"/>
      <c r="L158" s="24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6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4"/>
      <c r="J159" s="24"/>
      <c r="K159" s="24"/>
      <c r="L159" s="24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6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ref="Q169:Q200" si="10">IF(E169="","",E169+1)</f>
        <v/>
      </c>
      <c r="R169" s="19" t="str">
        <f t="shared" ref="R169:R200" ca="1" si="11">IF(E169="","",TODAY()-E169)</f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10"/>
        <v/>
      </c>
      <c r="R170" s="19" t="str">
        <f t="shared" ca="1" si="11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si="10"/>
        <v/>
      </c>
      <c r="R171" s="19" t="str">
        <f t="shared" ca="1" si="11"/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ref="Q201:Q208" si="12">IF(E201="","",E201+1)</f>
        <v/>
      </c>
      <c r="R201" s="19" t="str">
        <f t="shared" ref="R201:R208" ca="1" si="13">IF(E201="","",TODAY()-E201)</f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2"/>
        <v/>
      </c>
      <c r="R202" s="19" t="str">
        <f t="shared" ca="1" si="13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si="12"/>
        <v/>
      </c>
      <c r="R203" s="19" t="str">
        <f t="shared" ca="1" si="13"/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3"/>
      <c r="B208" s="14"/>
      <c r="C208" s="15"/>
      <c r="D208" s="15"/>
      <c r="E208" s="15"/>
      <c r="F208" s="23"/>
      <c r="G208" s="23"/>
      <c r="H208" s="14"/>
      <c r="I208" s="25"/>
      <c r="J208" s="25"/>
      <c r="K208" s="25"/>
      <c r="L208" s="25"/>
      <c r="M208" s="14"/>
      <c r="N208" s="14"/>
      <c r="O208" s="14"/>
      <c r="P208" s="14"/>
      <c r="Q208" s="20" t="str">
        <f t="shared" si="12"/>
        <v/>
      </c>
      <c r="R208" s="21" t="str">
        <f t="shared" ca="1" si="13"/>
        <v/>
      </c>
      <c r="S208" s="23"/>
      <c r="T208" s="23"/>
      <c r="U208" s="8"/>
      <c r="V208" s="27"/>
    </row>
  </sheetData>
  <mergeCells count="5">
    <mergeCell ref="A1:V1"/>
    <mergeCell ref="A2:V2"/>
    <mergeCell ref="A3:V3"/>
    <mergeCell ref="H5:V6"/>
    <mergeCell ref="A8:V8"/>
  </mergeCells>
  <conditionalFormatting sqref="P11:P208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H31:H208</xm:sqref>
        </x14:dataValidation>
        <x14:dataValidation type="list">
          <x14:formula1>
            <xm:f>Listas!$G$4:$G$6</xm:f>
          </x14:formula1>
          <xm:sqref>M11:M208</xm:sqref>
        </x14:dataValidation>
        <x14:dataValidation type="list">
          <x14:formula1>
            <xm:f>Listas!$E$4:$E$6</xm:f>
          </x14:formula1>
          <xm:sqref>N11:O208</xm:sqref>
        </x14:dataValidation>
        <x14:dataValidation type="list">
          <x14:formula1>
            <xm:f>Listas!$C$4:$C$11</xm:f>
          </x14:formula1>
          <xm:sqref>P11:P208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7" t="s">
        <v>33</v>
      </c>
      <c r="B1" s="57"/>
      <c r="C1" s="57"/>
      <c r="D1" s="57"/>
      <c r="E1" s="57"/>
      <c r="F1" s="57"/>
      <c r="G1" s="57"/>
      <c r="H1" s="57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8" t="s">
        <v>64</v>
      </c>
      <c r="B18" s="58"/>
      <c r="C18" s="58"/>
      <c r="D18" s="58"/>
      <c r="E18" s="58"/>
      <c r="F18" s="58"/>
      <c r="G18" s="58"/>
      <c r="H18" s="58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2026-10-13T17:56:40Z</dcterms:modified>
</cp:coreProperties>
</file>