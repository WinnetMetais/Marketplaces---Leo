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L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5" i="4" l="1"/>
  <c r="N75" i="4"/>
  <c r="O75" i="4" s="1"/>
  <c r="P75" i="4" s="1"/>
  <c r="K71" i="4"/>
  <c r="N71" i="4" s="1"/>
  <c r="O71" i="4" s="1"/>
  <c r="P71" i="4" s="1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 s="1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<sst xmlns="http://schemas.openxmlformats.org/spreadsheetml/2006/main" count="1947" uniqueCount="564">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</sst>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58" activePane="bottomLeft" state="frozen"/>
      <selection pane="bottomLeft" activeCell="S74" sqref="S74:S75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411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/>
      <c r="S71" t="s">
        <v>560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/>
      <c r="S72" t="s">
        <v>560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408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/>
      <c r="S73" t="s">
        <v>560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/>
      <c r="S74" t="s">
        <v>560</v>
      </c>
    </row>
    <row r="75" spans="1:19" ht="15" customHeight="1" x14ac:dyDescent="0.25">
      <c r="A75" s="32">
        <v>46295</v>
      </c>
      <c r="B75" s="19" t="s">
        <v>183</v>
      </c>
      <c r="C75" s="19">
        <v>1</v>
      </c>
      <c r="D75" s="19" t="s">
        <v>247</v>
      </c>
      <c r="E75" s="20">
        <f>IF($B75="","",INDEX(Simulador!$D$7:$D$232,MATCH($B75,Simulador!$A$7:$A$232,0)))</f>
        <v>639.57000000000005</v>
      </c>
      <c r="F75" s="20"/>
      <c r="G75" s="13">
        <f t="shared" si="12"/>
        <v>639.57000000000005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123.33</v>
      </c>
      <c r="L75" s="13">
        <f>IF(OR($B75="",$C75=""),"",$C75*INDEX(Simulador!$F$7:$F$232,MATCH($B75,Simulador!$A$7:$A$232,0)))</f>
        <v>329.27</v>
      </c>
      <c r="M75" s="13">
        <f t="shared" si="13"/>
        <v>63.957000000000008</v>
      </c>
      <c r="N75" s="35">
        <f t="shared" si="14"/>
        <v>225.46299999999997</v>
      </c>
      <c r="O75" s="12">
        <f t="shared" si="15"/>
        <v>0.35252278874869042</v>
      </c>
      <c r="P75" s="22" t="str">
        <f t="shared" si="16"/>
        <v>ACIMA DA META (&gt;20%)</v>
      </c>
      <c r="Q75" s="19"/>
      <c r="R75" s="19"/>
      <c r="S75" t="s">
        <v>560</v>
      </c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28628.640000000014</v>
      </c>
      <c r="K108" s="39">
        <f>SUM(K6:K107)</f>
        <v>4375.2900000000018</v>
      </c>
      <c r="L108" s="39">
        <f>SUM(L6:L107)</f>
        <v>15027.910000000002</v>
      </c>
      <c r="M108" s="39">
        <f>SUM(M6:M107)</f>
        <v>2862.864</v>
      </c>
      <c r="N108" s="39">
        <f>SUM(N6:N107)</f>
        <v>7290.1559999999999</v>
      </c>
      <c r="O108" s="40">
        <f>IF(G108=0,"",N108/G108)</f>
        <v>0.25464555773519093</v>
      </c>
    </row>
    <row r="117" spans="1:1" ht="15" customHeight="1" x14ac:dyDescent="0.25">
      <c r="A117" s="41"/>
    </row>
  </sheetData>
  <conditionalFormatting sqref="S6:S75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2026-09-30T14:19:40Z</dcterms:modified>
  <dc:language>en-US</dc:language>
</cp:coreProperties>
</file>