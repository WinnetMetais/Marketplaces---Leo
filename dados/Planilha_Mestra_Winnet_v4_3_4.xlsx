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N107" i="4" s="1"/>
  <c r="O107" i="4" s="1"/>
  <c r="P107" i="4" s="1"/>
  <c r="E107" i="4"/>
  <c r="N106" i="4"/>
  <c r="O106" i="4" s="1"/>
  <c r="P106" i="4" s="1"/>
  <c r="M106" i="4"/>
  <c r="L106" i="4"/>
  <c r="H106" i="4"/>
  <c r="I106" i="4" s="1"/>
  <c r="G106" i="4"/>
  <c r="K106" i="4" s="1"/>
  <c r="E106" i="4"/>
  <c r="O105" i="4"/>
  <c r="P105" i="4" s="1"/>
  <c r="L105" i="4"/>
  <c r="K105" i="4"/>
  <c r="I105" i="4"/>
  <c r="H105" i="4"/>
  <c r="G105" i="4"/>
  <c r="N105" i="4" s="1"/>
  <c r="E105" i="4"/>
  <c r="N104" i="4"/>
  <c r="O104" i="4" s="1"/>
  <c r="P104" i="4" s="1"/>
  <c r="M104" i="4"/>
  <c r="L104" i="4"/>
  <c r="H104" i="4"/>
  <c r="I104" i="4" s="1"/>
  <c r="G104" i="4"/>
  <c r="K104" i="4" s="1"/>
  <c r="E104" i="4"/>
  <c r="L103" i="4"/>
  <c r="K103" i="4"/>
  <c r="I103" i="4"/>
  <c r="H103" i="4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K101" i="4"/>
  <c r="I101" i="4"/>
  <c r="H101" i="4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I99" i="4"/>
  <c r="H99" i="4"/>
  <c r="G99" i="4"/>
  <c r="N99" i="4" s="1"/>
  <c r="O99" i="4" s="1"/>
  <c r="P99" i="4" s="1"/>
  <c r="E99" i="4"/>
  <c r="M98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O95" i="4"/>
  <c r="P95" i="4" s="1"/>
  <c r="N95" i="4"/>
  <c r="L95" i="4"/>
  <c r="K95" i="4"/>
  <c r="I95" i="4"/>
  <c r="H95" i="4"/>
  <c r="G95" i="4"/>
  <c r="M95" i="4" s="1"/>
  <c r="E95" i="4"/>
  <c r="M94" i="4"/>
  <c r="L94" i="4"/>
  <c r="H94" i="4"/>
  <c r="I94" i="4" s="1"/>
  <c r="G94" i="4"/>
  <c r="K94" i="4" s="1"/>
  <c r="E94" i="4"/>
  <c r="O93" i="4"/>
  <c r="P93" i="4" s="1"/>
  <c r="N93" i="4"/>
  <c r="L93" i="4"/>
  <c r="K93" i="4"/>
  <c r="I93" i="4"/>
  <c r="H93" i="4"/>
  <c r="G93" i="4"/>
  <c r="M93" i="4" s="1"/>
  <c r="E93" i="4"/>
  <c r="M92" i="4"/>
  <c r="L92" i="4"/>
  <c r="H92" i="4"/>
  <c r="I92" i="4" s="1"/>
  <c r="G92" i="4"/>
  <c r="K92" i="4" s="1"/>
  <c r="E92" i="4"/>
  <c r="O91" i="4"/>
  <c r="P91" i="4" s="1"/>
  <c r="N91" i="4"/>
  <c r="L91" i="4"/>
  <c r="K91" i="4"/>
  <c r="I91" i="4"/>
  <c r="H91" i="4"/>
  <c r="G91" i="4"/>
  <c r="M91" i="4" s="1"/>
  <c r="E91" i="4"/>
  <c r="M90" i="4"/>
  <c r="L90" i="4"/>
  <c r="H90" i="4"/>
  <c r="I90" i="4" s="1"/>
  <c r="G90" i="4"/>
  <c r="K90" i="4" s="1"/>
  <c r="E90" i="4"/>
  <c r="O89" i="4"/>
  <c r="P89" i="4" s="1"/>
  <c r="N89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O87" i="4"/>
  <c r="P87" i="4" s="1"/>
  <c r="N87" i="4"/>
  <c r="L87" i="4"/>
  <c r="K87" i="4"/>
  <c r="I87" i="4"/>
  <c r="H87" i="4"/>
  <c r="G87" i="4"/>
  <c r="M87" i="4" s="1"/>
  <c r="E87" i="4"/>
  <c r="M86" i="4"/>
  <c r="L86" i="4"/>
  <c r="H86" i="4"/>
  <c r="I86" i="4" s="1"/>
  <c r="G86" i="4"/>
  <c r="K86" i="4" s="1"/>
  <c r="E86" i="4"/>
  <c r="O85" i="4"/>
  <c r="P85" i="4" s="1"/>
  <c r="N85" i="4"/>
  <c r="L85" i="4"/>
  <c r="K85" i="4"/>
  <c r="I85" i="4"/>
  <c r="H85" i="4"/>
  <c r="G85" i="4"/>
  <c r="M85" i="4" s="1"/>
  <c r="E85" i="4"/>
  <c r="M84" i="4"/>
  <c r="L84" i="4"/>
  <c r="H84" i="4"/>
  <c r="I84" i="4" s="1"/>
  <c r="G84" i="4"/>
  <c r="K84" i="4" s="1"/>
  <c r="E84" i="4"/>
  <c r="O83" i="4"/>
  <c r="P83" i="4" s="1"/>
  <c r="N83" i="4"/>
  <c r="L83" i="4"/>
  <c r="K83" i="4"/>
  <c r="I83" i="4"/>
  <c r="H83" i="4"/>
  <c r="G83" i="4"/>
  <c r="M83" i="4" s="1"/>
  <c r="E83" i="4"/>
  <c r="L82" i="4"/>
  <c r="H82" i="4"/>
  <c r="I82" i="4" s="1"/>
  <c r="G82" i="4"/>
  <c r="E82" i="4"/>
  <c r="N81" i="4"/>
  <c r="O81" i="4" s="1"/>
  <c r="P81" i="4" s="1"/>
  <c r="L81" i="4"/>
  <c r="K81" i="4"/>
  <c r="I81" i="4"/>
  <c r="H81" i="4"/>
  <c r="G81" i="4"/>
  <c r="M81" i="4" s="1"/>
  <c r="E81" i="4"/>
  <c r="M80" i="4"/>
  <c r="L80" i="4"/>
  <c r="H80" i="4"/>
  <c r="I80" i="4" s="1"/>
  <c r="G80" i="4"/>
  <c r="E80" i="4"/>
  <c r="O79" i="4"/>
  <c r="P79" i="4" s="1"/>
  <c r="N79" i="4"/>
  <c r="L79" i="4"/>
  <c r="K79" i="4"/>
  <c r="I79" i="4"/>
  <c r="H79" i="4"/>
  <c r="G79" i="4"/>
  <c r="M79" i="4" s="1"/>
  <c r="E79" i="4"/>
  <c r="L78" i="4"/>
  <c r="H78" i="4"/>
  <c r="I78" i="4" s="1"/>
  <c r="G78" i="4"/>
  <c r="E78" i="4"/>
  <c r="N77" i="4"/>
  <c r="O77" i="4" s="1"/>
  <c r="P77" i="4" s="1"/>
  <c r="L77" i="4"/>
  <c r="K77" i="4"/>
  <c r="I77" i="4"/>
  <c r="H77" i="4"/>
  <c r="G77" i="4"/>
  <c r="M77" i="4" s="1"/>
  <c r="E77" i="4"/>
  <c r="M76" i="4"/>
  <c r="L76" i="4"/>
  <c r="H76" i="4"/>
  <c r="I76" i="4" s="1"/>
  <c r="G76" i="4"/>
  <c r="E76" i="4"/>
  <c r="O75" i="4"/>
  <c r="P75" i="4" s="1"/>
  <c r="N75" i="4"/>
  <c r="L75" i="4"/>
  <c r="K75" i="4"/>
  <c r="I75" i="4"/>
  <c r="H75" i="4"/>
  <c r="G75" i="4"/>
  <c r="M75" i="4" s="1"/>
  <c r="E75" i="4"/>
  <c r="L74" i="4"/>
  <c r="H74" i="4"/>
  <c r="I74" i="4" s="1"/>
  <c r="G74" i="4"/>
  <c r="E74" i="4"/>
  <c r="N73" i="4"/>
  <c r="O73" i="4" s="1"/>
  <c r="P73" i="4" s="1"/>
  <c r="L73" i="4"/>
  <c r="K73" i="4"/>
  <c r="I73" i="4"/>
  <c r="H73" i="4"/>
  <c r="G73" i="4"/>
  <c r="M73" i="4" s="1"/>
  <c r="E73" i="4"/>
  <c r="M72" i="4"/>
  <c r="L72" i="4"/>
  <c r="H72" i="4"/>
  <c r="I72" i="4" s="1"/>
  <c r="G72" i="4"/>
  <c r="E72" i="4"/>
  <c r="O71" i="4"/>
  <c r="P71" i="4" s="1"/>
  <c r="N71" i="4"/>
  <c r="L71" i="4"/>
  <c r="K71" i="4"/>
  <c r="I71" i="4"/>
  <c r="H71" i="4"/>
  <c r="G71" i="4"/>
  <c r="M71" i="4" s="1"/>
  <c r="E71" i="4"/>
  <c r="P70" i="4"/>
  <c r="N70" i="4"/>
  <c r="O70" i="4" s="1"/>
  <c r="L70" i="4"/>
  <c r="I70" i="4"/>
  <c r="H70" i="4"/>
  <c r="G70" i="4"/>
  <c r="K70" i="4" s="1"/>
  <c r="E70" i="4"/>
  <c r="L69" i="4"/>
  <c r="K69" i="4"/>
  <c r="I69" i="4"/>
  <c r="H69" i="4"/>
  <c r="G69" i="4"/>
  <c r="M69" i="4" s="1"/>
  <c r="E69" i="4"/>
  <c r="L68" i="4"/>
  <c r="I68" i="4"/>
  <c r="H68" i="4"/>
  <c r="G68" i="4"/>
  <c r="K68" i="4" s="1"/>
  <c r="E68" i="4"/>
  <c r="L67" i="4"/>
  <c r="I67" i="4"/>
  <c r="H67" i="4"/>
  <c r="G67" i="4"/>
  <c r="E67" i="4"/>
  <c r="L66" i="4"/>
  <c r="H66" i="4"/>
  <c r="I66" i="4" s="1"/>
  <c r="G66" i="4"/>
  <c r="M66" i="4" s="1"/>
  <c r="E66" i="4"/>
  <c r="N65" i="4"/>
  <c r="O65" i="4" s="1"/>
  <c r="P65" i="4" s="1"/>
  <c r="L65" i="4"/>
  <c r="I65" i="4"/>
  <c r="H65" i="4"/>
  <c r="G65" i="4"/>
  <c r="M65" i="4" s="1"/>
  <c r="E65" i="4"/>
  <c r="N64" i="4"/>
  <c r="O64" i="4" s="1"/>
  <c r="P64" i="4" s="1"/>
  <c r="L64" i="4"/>
  <c r="H64" i="4"/>
  <c r="I64" i="4" s="1"/>
  <c r="G64" i="4"/>
  <c r="K64" i="4" s="1"/>
  <c r="E64" i="4"/>
  <c r="O63" i="4"/>
  <c r="P63" i="4" s="1"/>
  <c r="N63" i="4"/>
  <c r="L63" i="4"/>
  <c r="K63" i="4"/>
  <c r="I63" i="4"/>
  <c r="H63" i="4"/>
  <c r="G63" i="4"/>
  <c r="M63" i="4" s="1"/>
  <c r="E63" i="4"/>
  <c r="L62" i="4"/>
  <c r="H62" i="4"/>
  <c r="I62" i="4" s="1"/>
  <c r="G62" i="4"/>
  <c r="E62" i="4"/>
  <c r="L61" i="4"/>
  <c r="H61" i="4"/>
  <c r="I61" i="4" s="1"/>
  <c r="G61" i="4"/>
  <c r="N61" i="4" s="1"/>
  <c r="O61" i="4" s="1"/>
  <c r="P61" i="4" s="1"/>
  <c r="E61" i="4"/>
  <c r="L60" i="4"/>
  <c r="H60" i="4"/>
  <c r="I60" i="4" s="1"/>
  <c r="G60" i="4"/>
  <c r="E60" i="4"/>
  <c r="L59" i="4"/>
  <c r="H59" i="4"/>
  <c r="I59" i="4" s="1"/>
  <c r="G59" i="4"/>
  <c r="E59" i="4"/>
  <c r="L58" i="4"/>
  <c r="H58" i="4"/>
  <c r="I58" i="4" s="1"/>
  <c r="G58" i="4"/>
  <c r="E58" i="4"/>
  <c r="L57" i="4"/>
  <c r="H57" i="4"/>
  <c r="I57" i="4" s="1"/>
  <c r="G57" i="4"/>
  <c r="E57" i="4"/>
  <c r="L56" i="4"/>
  <c r="H56" i="4"/>
  <c r="I56" i="4" s="1"/>
  <c r="G56" i="4"/>
  <c r="E56" i="4"/>
  <c r="L55" i="4"/>
  <c r="H55" i="4"/>
  <c r="I55" i="4" s="1"/>
  <c r="G55" i="4"/>
  <c r="N55" i="4" s="1"/>
  <c r="O55" i="4" s="1"/>
  <c r="P55" i="4" s="1"/>
  <c r="E55" i="4"/>
  <c r="L54" i="4"/>
  <c r="H54" i="4"/>
  <c r="I54" i="4" s="1"/>
  <c r="G54" i="4"/>
  <c r="E54" i="4"/>
  <c r="L53" i="4"/>
  <c r="I53" i="4"/>
  <c r="H53" i="4"/>
  <c r="E53" i="4"/>
  <c r="G53" i="4" s="1"/>
  <c r="L52" i="4"/>
  <c r="H52" i="4"/>
  <c r="I52" i="4" s="1"/>
  <c r="G52" i="4"/>
  <c r="E52" i="4"/>
  <c r="L51" i="4"/>
  <c r="I51" i="4"/>
  <c r="H51" i="4"/>
  <c r="E51" i="4"/>
  <c r="G51" i="4" s="1"/>
  <c r="L50" i="4"/>
  <c r="H50" i="4"/>
  <c r="I50" i="4" s="1"/>
  <c r="G50" i="4"/>
  <c r="E50" i="4"/>
  <c r="L49" i="4"/>
  <c r="I49" i="4"/>
  <c r="H49" i="4"/>
  <c r="E49" i="4"/>
  <c r="G49" i="4" s="1"/>
  <c r="L48" i="4"/>
  <c r="H48" i="4"/>
  <c r="I48" i="4" s="1"/>
  <c r="G48" i="4"/>
  <c r="E48" i="4"/>
  <c r="L47" i="4"/>
  <c r="I47" i="4"/>
  <c r="H47" i="4"/>
  <c r="E47" i="4"/>
  <c r="G47" i="4" s="1"/>
  <c r="L46" i="4"/>
  <c r="H46" i="4"/>
  <c r="I46" i="4" s="1"/>
  <c r="G46" i="4"/>
  <c r="E46" i="4"/>
  <c r="L45" i="4"/>
  <c r="I45" i="4"/>
  <c r="H45" i="4"/>
  <c r="E45" i="4"/>
  <c r="G45" i="4" s="1"/>
  <c r="L44" i="4"/>
  <c r="H44" i="4"/>
  <c r="I44" i="4" s="1"/>
  <c r="G44" i="4"/>
  <c r="E44" i="4"/>
  <c r="L43" i="4"/>
  <c r="I43" i="4"/>
  <c r="H43" i="4"/>
  <c r="E43" i="4"/>
  <c r="G43" i="4" s="1"/>
  <c r="M42" i="4"/>
  <c r="L42" i="4"/>
  <c r="H42" i="4"/>
  <c r="I42" i="4" s="1"/>
  <c r="G42" i="4"/>
  <c r="E42" i="4"/>
  <c r="L41" i="4"/>
  <c r="H41" i="4"/>
  <c r="I41" i="4" s="1"/>
  <c r="N41" i="4" s="1"/>
  <c r="O41" i="4" s="1"/>
  <c r="P41" i="4" s="1"/>
  <c r="G41" i="4"/>
  <c r="M41" i="4" s="1"/>
  <c r="E41" i="4"/>
  <c r="L40" i="4"/>
  <c r="H40" i="4"/>
  <c r="I40" i="4" s="1"/>
  <c r="G40" i="4"/>
  <c r="E40" i="4"/>
  <c r="L39" i="4"/>
  <c r="I39" i="4"/>
  <c r="H39" i="4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I33" i="4"/>
  <c r="H33" i="4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I28" i="4"/>
  <c r="H28" i="4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M24" i="4"/>
  <c r="L24" i="4"/>
  <c r="H24" i="4"/>
  <c r="G24" i="4"/>
  <c r="E24" i="4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M19" i="4"/>
  <c r="L19" i="4"/>
  <c r="H19" i="4"/>
  <c r="I19" i="4" s="1"/>
  <c r="G19" i="4"/>
  <c r="E19" i="4"/>
  <c r="L18" i="4"/>
  <c r="I18" i="4"/>
  <c r="H18" i="4"/>
  <c r="E18" i="4"/>
  <c r="G18" i="4" s="1"/>
  <c r="L17" i="4"/>
  <c r="H17" i="4"/>
  <c r="G17" i="4"/>
  <c r="E17" i="4"/>
  <c r="L16" i="4"/>
  <c r="I16" i="4"/>
  <c r="H16" i="4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G13" i="4"/>
  <c r="M13" i="4" s="1"/>
  <c r="E13" i="4"/>
  <c r="L12" i="4"/>
  <c r="H12" i="4"/>
  <c r="G12" i="4"/>
  <c r="M12" i="4" s="1"/>
  <c r="E12" i="4"/>
  <c r="L11" i="4"/>
  <c r="H11" i="4"/>
  <c r="E11" i="4"/>
  <c r="G11" i="4" s="1"/>
  <c r="K11" i="4" s="1"/>
  <c r="M10" i="4"/>
  <c r="L10" i="4"/>
  <c r="H10" i="4"/>
  <c r="G10" i="4"/>
  <c r="L9" i="4"/>
  <c r="I9" i="4"/>
  <c r="H9" i="4"/>
  <c r="E9" i="4"/>
  <c r="G9" i="4" s="1"/>
  <c r="M8" i="4"/>
  <c r="L8" i="4"/>
  <c r="H8" i="4"/>
  <c r="I8" i="4" s="1"/>
  <c r="G8" i="4"/>
  <c r="K8" i="4" s="1"/>
  <c r="E8" i="4"/>
  <c r="L7" i="4"/>
  <c r="K7" i="4"/>
  <c r="I7" i="4"/>
  <c r="H7" i="4"/>
  <c r="E7" i="4"/>
  <c r="G7" i="4" s="1"/>
  <c r="M6" i="4"/>
  <c r="L6" i="4"/>
  <c r="H6" i="4"/>
  <c r="I6" i="4" s="1"/>
  <c r="G6" i="4"/>
  <c r="E6" i="4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61" i="4" l="1"/>
  <c r="M61" i="4"/>
  <c r="K59" i="4"/>
  <c r="N59" i="4" s="1"/>
  <c r="O59" i="4" s="1"/>
  <c r="P59" i="4" s="1"/>
  <c r="M59" i="4"/>
  <c r="K57" i="4"/>
  <c r="N57" i="4" s="1"/>
  <c r="O57" i="4" s="1"/>
  <c r="P57" i="4" s="1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N9" i="4" s="1"/>
  <c r="O9" i="4" s="1"/>
  <c r="P9" i="4" s="1"/>
  <c r="M116" i="3"/>
  <c r="N116" i="3" s="1"/>
  <c r="O116" i="3" s="1"/>
  <c r="M34" i="4"/>
  <c r="N34" i="4" s="1"/>
  <c r="O34" i="4" s="1"/>
  <c r="P34" i="4" s="1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N40" i="4" s="1"/>
  <c r="O40" i="4" s="1"/>
  <c r="P40" i="4" s="1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N16" i="4" s="1"/>
  <c r="O16" i="4" s="1"/>
  <c r="P16" i="4" s="1"/>
  <c r="K16" i="4"/>
  <c r="N25" i="4"/>
  <c r="O25" i="4" s="1"/>
  <c r="P25" i="4" s="1"/>
  <c r="K25" i="4"/>
  <c r="K26" i="4"/>
  <c r="M28" i="4"/>
  <c r="K28" i="4"/>
  <c r="N28" i="4" s="1"/>
  <c r="O28" i="4" s="1"/>
  <c r="P28" i="4" s="1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N23" i="4" s="1"/>
  <c r="O23" i="4" s="1"/>
  <c r="P23" i="4" s="1"/>
  <c r="K23" i="4"/>
  <c r="N36" i="4"/>
  <c r="O36" i="4" s="1"/>
  <c r="P36" i="4" s="1"/>
  <c r="M36" i="4"/>
  <c r="K37" i="4"/>
  <c r="N37" i="4"/>
  <c r="O37" i="4" s="1"/>
  <c r="P37" i="4" s="1"/>
  <c r="K56" i="4"/>
  <c r="N56" i="4"/>
  <c r="O56" i="4" s="1"/>
  <c r="P56" i="4" s="1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K44" i="4"/>
  <c r="N44" i="4" s="1"/>
  <c r="O44" i="4" s="1"/>
  <c r="P44" i="4" s="1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K49" i="4"/>
  <c r="N49" i="4"/>
  <c r="O49" i="4" s="1"/>
  <c r="P49" i="4" s="1"/>
  <c r="K52" i="4"/>
  <c r="N52" i="4" s="1"/>
  <c r="O52" i="4" s="1"/>
  <c r="P52" i="4" s="1"/>
  <c r="M52" i="4"/>
  <c r="M53" i="4"/>
  <c r="K53" i="4"/>
  <c r="N53" i="4" s="1"/>
  <c r="O53" i="4" s="1"/>
  <c r="P53" i="4" s="1"/>
  <c r="K58" i="4"/>
  <c r="M58" i="4"/>
  <c r="N58" i="4" s="1"/>
  <c r="O58" i="4" s="1"/>
  <c r="P58" i="4" s="1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N39" i="4"/>
  <c r="O39" i="4" s="1"/>
  <c r="P39" i="4" s="1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N50" i="4" s="1"/>
  <c r="O50" i="4" s="1"/>
  <c r="P50" i="4" s="1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M108" i="4" l="1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<sst xmlns="http://schemas.openxmlformats.org/spreadsheetml/2006/main" count="1904" uniqueCount="562">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</sst>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57" activePane="bottomLeft" state="frozen"/>
      <selection pane="bottomLeft" activeCell="J63" sqref="J63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  <c r="S53" t="s">
        <v>560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25.95</v>
      </c>
      <c r="G61" s="13">
        <f t="shared" si="6"/>
        <v>584.66999999999996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90</v>
      </c>
      <c r="L61" s="13">
        <f>IF(OR($B61="",$C61=""),"",$C61*INDEX(Simulador!$F$7:$F$232,MATCH($B61,Simulador!$A$7:$A$232,0)))</f>
        <v>308.39999999999998</v>
      </c>
      <c r="M61" s="13">
        <f t="shared" si="7"/>
        <v>58.466999999999999</v>
      </c>
      <c r="N61" s="35">
        <f t="shared" si="8"/>
        <v>131.88300000000004</v>
      </c>
      <c r="O61" s="12">
        <f t="shared" si="9"/>
        <v>0.22556826928010681</v>
      </c>
      <c r="P61" s="22" t="str">
        <f t="shared" si="10"/>
        <v>ACIMA DA META (&gt;20%)</v>
      </c>
      <c r="Q61" s="19"/>
      <c r="R61" s="19"/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/>
      <c r="R62" s="19"/>
    </row>
    <row r="63" spans="1:19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9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24567.500000000007</v>
      </c>
      <c r="K108" s="39">
        <f>SUM(K6:K107)</f>
        <v>3736.0500000000011</v>
      </c>
      <c r="L108" s="39">
        <f>SUM(L6:L107)</f>
        <v>12897.240000000002</v>
      </c>
      <c r="M108" s="39">
        <f>SUM(M6:M107)</f>
        <v>2456.7500000000005</v>
      </c>
      <c r="N108" s="39">
        <f>SUM(N6:N107)</f>
        <v>6226.670000000001</v>
      </c>
      <c r="O108" s="40">
        <f>IF(G108=0,"",N108/G108)</f>
        <v>0.25345151114276987</v>
      </c>
    </row>
    <row r="117" spans="1:1" ht="15" customHeight="1" x14ac:dyDescent="0.25">
      <c r="A117" s="41"/>
    </row>
  </sheetData>
  <conditionalFormatting sqref="S6:S60">
    <cfRule type="cellIs" dxfId="1" priority="2" operator="equal">
      <formula>"VÁLIDO"</formula>
    </cfRule>
    <cfRule type="cellIs" dxfId="0" priority="1" operator="equal">
      <formula>"DEVOLUÇÃO"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2026-09-14T15:28:16Z</dcterms:modified>
  <dc:language>en-US</dc:language>
</cp:coreProperties>
</file>