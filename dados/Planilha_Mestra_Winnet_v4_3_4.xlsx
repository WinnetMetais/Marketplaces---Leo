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M72" i="4"/>
  <c r="L72" i="4"/>
  <c r="H72" i="4"/>
  <c r="I72" i="4" s="1"/>
  <c r="G72" i="4"/>
  <c r="E72" i="4"/>
  <c r="N71" i="4"/>
  <c r="O71" i="4" s="1"/>
  <c r="P71" i="4" s="1"/>
  <c r="L71" i="4"/>
  <c r="K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0" i="4" l="1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<sst xmlns="http://schemas.openxmlformats.org/spreadsheetml/2006/main" count="1928" uniqueCount="563">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</sst>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8" activePane="bottomLeft" state="frozen"/>
      <selection pane="bottomLeft" activeCell="G71" sqref="G71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/>
      <c r="G68" s="13">
        <f t="shared" si="6"/>
        <v>407.08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64.41</v>
      </c>
      <c r="L68" s="13">
        <f>IF(OR($B68="",$C68=""),"",$C68*INDEX(Simulador!$F$7:$F$232,MATCH($B68,Simulador!$A$7:$A$232,0)))</f>
        <v>205.6</v>
      </c>
      <c r="M68" s="13">
        <f t="shared" si="7"/>
        <v>40.707999999999998</v>
      </c>
      <c r="N68" s="35">
        <f t="shared" si="8"/>
        <v>107.73199999999997</v>
      </c>
      <c r="O68" s="12">
        <f t="shared" si="9"/>
        <v>0.26464576987324351</v>
      </c>
      <c r="P68" s="22" t="str">
        <f t="shared" si="10"/>
        <v>ACIMA DA META (&gt;20%)</v>
      </c>
      <c r="Q68" s="19"/>
      <c r="R68" s="19"/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/>
      <c r="G70" s="13">
        <f t="shared" ref="G70:G101" si="12">IF(OR($B70="",$C70=""),"",$C70*E70-IF(F70="",0,F70))</f>
        <v>116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19.7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11.600000000000001</v>
      </c>
      <c r="N70" s="35">
        <f t="shared" ref="N70:N101" si="14">IF(OR(G70="",J70=""),"",G70+IF(I70="",0,I70)-J70-K70-L70-M70)</f>
        <v>38.35</v>
      </c>
      <c r="O70" s="12">
        <f t="shared" ref="O70:O101" si="15">IF(OR(N70="",G70=0,G70=""),"",N70/G70)</f>
        <v>0.33060344827586208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27076.30000000001</v>
      </c>
      <c r="K108" s="39">
        <f>SUM(K6:K107)</f>
        <v>4116.2400000000007</v>
      </c>
      <c r="L108" s="39">
        <f>SUM(L6:L107)</f>
        <v>14200.290000000003</v>
      </c>
      <c r="M108" s="39">
        <f>SUM(M6:M107)</f>
        <v>2707.63</v>
      </c>
      <c r="N108" s="39">
        <f>SUM(N6:N107)</f>
        <v>6886.93</v>
      </c>
      <c r="O108" s="40">
        <f>IF(G108=0,"",N108/G108)</f>
        <v>0.25435269959337126</v>
      </c>
    </row>
    <row r="117" spans="1:1" ht="15" customHeight="1" x14ac:dyDescent="0.25">
      <c r="A117" s="41"/>
    </row>
  </sheetData>
  <conditionalFormatting sqref="S6:S67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2026-09-24T17:48:50Z</dcterms:modified>
  <dc:language>en-US</dc:language>
</cp:coreProperties>
</file>