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K107" i="4"/>
  <c r="H107" i="4"/>
  <c r="I107" i="4" s="1"/>
  <c r="G107" i="4"/>
  <c r="N107" i="4" s="1"/>
  <c r="O107" i="4" s="1"/>
  <c r="P107" i="4" s="1"/>
  <c r="E107" i="4"/>
  <c r="N106" i="4"/>
  <c r="O106" i="4" s="1"/>
  <c r="P106" i="4" s="1"/>
  <c r="M106" i="4"/>
  <c r="L106" i="4"/>
  <c r="H106" i="4"/>
  <c r="I106" i="4" s="1"/>
  <c r="G106" i="4"/>
  <c r="K106" i="4" s="1"/>
  <c r="E106" i="4"/>
  <c r="O105" i="4"/>
  <c r="P105" i="4" s="1"/>
  <c r="L105" i="4"/>
  <c r="K105" i="4"/>
  <c r="I105" i="4"/>
  <c r="H105" i="4"/>
  <c r="G105" i="4"/>
  <c r="N105" i="4" s="1"/>
  <c r="E105" i="4"/>
  <c r="N104" i="4"/>
  <c r="O104" i="4" s="1"/>
  <c r="P104" i="4" s="1"/>
  <c r="M104" i="4"/>
  <c r="L104" i="4"/>
  <c r="H104" i="4"/>
  <c r="I104" i="4" s="1"/>
  <c r="G104" i="4"/>
  <c r="K104" i="4" s="1"/>
  <c r="E104" i="4"/>
  <c r="L103" i="4"/>
  <c r="K103" i="4"/>
  <c r="I103" i="4"/>
  <c r="H103" i="4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K101" i="4"/>
  <c r="I101" i="4"/>
  <c r="H101" i="4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K99" i="4"/>
  <c r="I99" i="4"/>
  <c r="H99" i="4"/>
  <c r="G99" i="4"/>
  <c r="N99" i="4" s="1"/>
  <c r="O99" i="4" s="1"/>
  <c r="P99" i="4" s="1"/>
  <c r="E99" i="4"/>
  <c r="M98" i="4"/>
  <c r="L98" i="4"/>
  <c r="H98" i="4"/>
  <c r="I98" i="4" s="1"/>
  <c r="G98" i="4"/>
  <c r="K98" i="4" s="1"/>
  <c r="E98" i="4"/>
  <c r="L97" i="4"/>
  <c r="K97" i="4"/>
  <c r="I97" i="4"/>
  <c r="H97" i="4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O95" i="4"/>
  <c r="P95" i="4" s="1"/>
  <c r="N95" i="4"/>
  <c r="L95" i="4"/>
  <c r="K95" i="4"/>
  <c r="I95" i="4"/>
  <c r="H95" i="4"/>
  <c r="G95" i="4"/>
  <c r="M95" i="4" s="1"/>
  <c r="E95" i="4"/>
  <c r="M94" i="4"/>
  <c r="L94" i="4"/>
  <c r="H94" i="4"/>
  <c r="I94" i="4" s="1"/>
  <c r="G94" i="4"/>
  <c r="K94" i="4" s="1"/>
  <c r="E94" i="4"/>
  <c r="O93" i="4"/>
  <c r="P93" i="4" s="1"/>
  <c r="N93" i="4"/>
  <c r="L93" i="4"/>
  <c r="K93" i="4"/>
  <c r="I93" i="4"/>
  <c r="H93" i="4"/>
  <c r="G93" i="4"/>
  <c r="M93" i="4" s="1"/>
  <c r="E93" i="4"/>
  <c r="M92" i="4"/>
  <c r="L92" i="4"/>
  <c r="H92" i="4"/>
  <c r="I92" i="4" s="1"/>
  <c r="G92" i="4"/>
  <c r="K92" i="4" s="1"/>
  <c r="E92" i="4"/>
  <c r="O91" i="4"/>
  <c r="P91" i="4" s="1"/>
  <c r="N91" i="4"/>
  <c r="L91" i="4"/>
  <c r="K91" i="4"/>
  <c r="I91" i="4"/>
  <c r="H91" i="4"/>
  <c r="G91" i="4"/>
  <c r="M91" i="4" s="1"/>
  <c r="E91" i="4"/>
  <c r="M90" i="4"/>
  <c r="L90" i="4"/>
  <c r="H90" i="4"/>
  <c r="I90" i="4" s="1"/>
  <c r="G90" i="4"/>
  <c r="K90" i="4" s="1"/>
  <c r="E90" i="4"/>
  <c r="O89" i="4"/>
  <c r="P89" i="4" s="1"/>
  <c r="N89" i="4"/>
  <c r="L89" i="4"/>
  <c r="K89" i="4"/>
  <c r="I89" i="4"/>
  <c r="H89" i="4"/>
  <c r="G89" i="4"/>
  <c r="M89" i="4" s="1"/>
  <c r="E89" i="4"/>
  <c r="M88" i="4"/>
  <c r="L88" i="4"/>
  <c r="H88" i="4"/>
  <c r="I88" i="4" s="1"/>
  <c r="G88" i="4"/>
  <c r="K88" i="4" s="1"/>
  <c r="E88" i="4"/>
  <c r="O87" i="4"/>
  <c r="P87" i="4" s="1"/>
  <c r="N87" i="4"/>
  <c r="L87" i="4"/>
  <c r="K87" i="4"/>
  <c r="I87" i="4"/>
  <c r="H87" i="4"/>
  <c r="G87" i="4"/>
  <c r="M87" i="4" s="1"/>
  <c r="E87" i="4"/>
  <c r="M86" i="4"/>
  <c r="L86" i="4"/>
  <c r="H86" i="4"/>
  <c r="I86" i="4" s="1"/>
  <c r="G86" i="4"/>
  <c r="K86" i="4" s="1"/>
  <c r="E86" i="4"/>
  <c r="O85" i="4"/>
  <c r="P85" i="4" s="1"/>
  <c r="N85" i="4"/>
  <c r="L85" i="4"/>
  <c r="K85" i="4"/>
  <c r="I85" i="4"/>
  <c r="H85" i="4"/>
  <c r="G85" i="4"/>
  <c r="M85" i="4" s="1"/>
  <c r="E85" i="4"/>
  <c r="M84" i="4"/>
  <c r="L84" i="4"/>
  <c r="H84" i="4"/>
  <c r="I84" i="4" s="1"/>
  <c r="G84" i="4"/>
  <c r="K84" i="4" s="1"/>
  <c r="E84" i="4"/>
  <c r="O83" i="4"/>
  <c r="P83" i="4" s="1"/>
  <c r="N83" i="4"/>
  <c r="L83" i="4"/>
  <c r="K83" i="4"/>
  <c r="I83" i="4"/>
  <c r="H83" i="4"/>
  <c r="G83" i="4"/>
  <c r="M83" i="4" s="1"/>
  <c r="E83" i="4"/>
  <c r="L82" i="4"/>
  <c r="H82" i="4"/>
  <c r="I82" i="4" s="1"/>
  <c r="G82" i="4"/>
  <c r="E82" i="4"/>
  <c r="N81" i="4"/>
  <c r="O81" i="4" s="1"/>
  <c r="P81" i="4" s="1"/>
  <c r="L81" i="4"/>
  <c r="K81" i="4"/>
  <c r="I81" i="4"/>
  <c r="H81" i="4"/>
  <c r="G81" i="4"/>
  <c r="M81" i="4" s="1"/>
  <c r="E81" i="4"/>
  <c r="M80" i="4"/>
  <c r="L80" i="4"/>
  <c r="H80" i="4"/>
  <c r="I80" i="4" s="1"/>
  <c r="G80" i="4"/>
  <c r="E80" i="4"/>
  <c r="O79" i="4"/>
  <c r="P79" i="4" s="1"/>
  <c r="N79" i="4"/>
  <c r="L79" i="4"/>
  <c r="K79" i="4"/>
  <c r="I79" i="4"/>
  <c r="H79" i="4"/>
  <c r="G79" i="4"/>
  <c r="M79" i="4" s="1"/>
  <c r="E79" i="4"/>
  <c r="L78" i="4"/>
  <c r="H78" i="4"/>
  <c r="I78" i="4" s="1"/>
  <c r="G78" i="4"/>
  <c r="E78" i="4"/>
  <c r="N77" i="4"/>
  <c r="O77" i="4" s="1"/>
  <c r="P77" i="4" s="1"/>
  <c r="L77" i="4"/>
  <c r="K77" i="4"/>
  <c r="I77" i="4"/>
  <c r="H77" i="4"/>
  <c r="G77" i="4"/>
  <c r="M77" i="4" s="1"/>
  <c r="E77" i="4"/>
  <c r="M76" i="4"/>
  <c r="L76" i="4"/>
  <c r="H76" i="4"/>
  <c r="I76" i="4" s="1"/>
  <c r="G76" i="4"/>
  <c r="E76" i="4"/>
  <c r="O75" i="4"/>
  <c r="P75" i="4" s="1"/>
  <c r="N75" i="4"/>
  <c r="L75" i="4"/>
  <c r="K75" i="4"/>
  <c r="I75" i="4"/>
  <c r="H75" i="4"/>
  <c r="G75" i="4"/>
  <c r="M75" i="4" s="1"/>
  <c r="E75" i="4"/>
  <c r="L74" i="4"/>
  <c r="H74" i="4"/>
  <c r="I74" i="4" s="1"/>
  <c r="G74" i="4"/>
  <c r="E74" i="4"/>
  <c r="N73" i="4"/>
  <c r="O73" i="4" s="1"/>
  <c r="P73" i="4" s="1"/>
  <c r="L73" i="4"/>
  <c r="K73" i="4"/>
  <c r="I73" i="4"/>
  <c r="H73" i="4"/>
  <c r="G73" i="4"/>
  <c r="M73" i="4" s="1"/>
  <c r="E73" i="4"/>
  <c r="M72" i="4"/>
  <c r="L72" i="4"/>
  <c r="H72" i="4"/>
  <c r="I72" i="4" s="1"/>
  <c r="G72" i="4"/>
  <c r="E72" i="4"/>
  <c r="O71" i="4"/>
  <c r="P71" i="4" s="1"/>
  <c r="N71" i="4"/>
  <c r="L71" i="4"/>
  <c r="K71" i="4"/>
  <c r="I71" i="4"/>
  <c r="H71" i="4"/>
  <c r="G71" i="4"/>
  <c r="M71" i="4" s="1"/>
  <c r="E71" i="4"/>
  <c r="P70" i="4"/>
  <c r="N70" i="4"/>
  <c r="O70" i="4" s="1"/>
  <c r="L70" i="4"/>
  <c r="I70" i="4"/>
  <c r="H70" i="4"/>
  <c r="G70" i="4"/>
  <c r="K70" i="4" s="1"/>
  <c r="E70" i="4"/>
  <c r="L69" i="4"/>
  <c r="K69" i="4"/>
  <c r="I69" i="4"/>
  <c r="H69" i="4"/>
  <c r="G69" i="4"/>
  <c r="M69" i="4" s="1"/>
  <c r="E69" i="4"/>
  <c r="L68" i="4"/>
  <c r="I68" i="4"/>
  <c r="H68" i="4"/>
  <c r="G68" i="4"/>
  <c r="K68" i="4" s="1"/>
  <c r="E68" i="4"/>
  <c r="L67" i="4"/>
  <c r="I67" i="4"/>
  <c r="H67" i="4"/>
  <c r="G67" i="4"/>
  <c r="E67" i="4"/>
  <c r="L66" i="4"/>
  <c r="H66" i="4"/>
  <c r="I66" i="4" s="1"/>
  <c r="G66" i="4"/>
  <c r="M66" i="4" s="1"/>
  <c r="E66" i="4"/>
  <c r="N65" i="4"/>
  <c r="O65" i="4" s="1"/>
  <c r="P65" i="4" s="1"/>
  <c r="L65" i="4"/>
  <c r="I65" i="4"/>
  <c r="H65" i="4"/>
  <c r="G65" i="4"/>
  <c r="M65" i="4" s="1"/>
  <c r="E65" i="4"/>
  <c r="N64" i="4"/>
  <c r="O64" i="4" s="1"/>
  <c r="P64" i="4" s="1"/>
  <c r="L64" i="4"/>
  <c r="H64" i="4"/>
  <c r="I64" i="4" s="1"/>
  <c r="G64" i="4"/>
  <c r="K64" i="4" s="1"/>
  <c r="E64" i="4"/>
  <c r="O63" i="4"/>
  <c r="P63" i="4" s="1"/>
  <c r="N63" i="4"/>
  <c r="L63" i="4"/>
  <c r="K63" i="4"/>
  <c r="I63" i="4"/>
  <c r="H63" i="4"/>
  <c r="G63" i="4"/>
  <c r="M63" i="4" s="1"/>
  <c r="E63" i="4"/>
  <c r="L62" i="4"/>
  <c r="H62" i="4"/>
  <c r="I62" i="4" s="1"/>
  <c r="G62" i="4"/>
  <c r="E62" i="4"/>
  <c r="L61" i="4"/>
  <c r="H61" i="4"/>
  <c r="I61" i="4" s="1"/>
  <c r="G61" i="4"/>
  <c r="E61" i="4"/>
  <c r="L60" i="4"/>
  <c r="H60" i="4"/>
  <c r="I60" i="4" s="1"/>
  <c r="G60" i="4"/>
  <c r="E60" i="4"/>
  <c r="L59" i="4"/>
  <c r="H59" i="4"/>
  <c r="I59" i="4" s="1"/>
  <c r="G59" i="4"/>
  <c r="E59" i="4"/>
  <c r="L58" i="4"/>
  <c r="H58" i="4"/>
  <c r="I58" i="4" s="1"/>
  <c r="G58" i="4"/>
  <c r="E58" i="4"/>
  <c r="L57" i="4"/>
  <c r="H57" i="4"/>
  <c r="I57" i="4" s="1"/>
  <c r="G57" i="4"/>
  <c r="E57" i="4"/>
  <c r="L56" i="4"/>
  <c r="H56" i="4"/>
  <c r="I56" i="4" s="1"/>
  <c r="G56" i="4"/>
  <c r="E56" i="4"/>
  <c r="L55" i="4"/>
  <c r="H55" i="4"/>
  <c r="I55" i="4" s="1"/>
  <c r="G55" i="4"/>
  <c r="N55" i="4" s="1"/>
  <c r="O55" i="4" s="1"/>
  <c r="P55" i="4" s="1"/>
  <c r="E55" i="4"/>
  <c r="L54" i="4"/>
  <c r="H54" i="4"/>
  <c r="I54" i="4" s="1"/>
  <c r="G54" i="4"/>
  <c r="E54" i="4"/>
  <c r="L53" i="4"/>
  <c r="I53" i="4"/>
  <c r="H53" i="4"/>
  <c r="E53" i="4"/>
  <c r="G53" i="4" s="1"/>
  <c r="L52" i="4"/>
  <c r="H52" i="4"/>
  <c r="I52" i="4" s="1"/>
  <c r="G52" i="4"/>
  <c r="E52" i="4"/>
  <c r="L51" i="4"/>
  <c r="I51" i="4"/>
  <c r="H51" i="4"/>
  <c r="E51" i="4"/>
  <c r="G51" i="4" s="1"/>
  <c r="L50" i="4"/>
  <c r="H50" i="4"/>
  <c r="I50" i="4" s="1"/>
  <c r="G50" i="4"/>
  <c r="E50" i="4"/>
  <c r="L49" i="4"/>
  <c r="I49" i="4"/>
  <c r="H49" i="4"/>
  <c r="E49" i="4"/>
  <c r="G49" i="4" s="1"/>
  <c r="L48" i="4"/>
  <c r="H48" i="4"/>
  <c r="I48" i="4" s="1"/>
  <c r="G48" i="4"/>
  <c r="E48" i="4"/>
  <c r="L47" i="4"/>
  <c r="I47" i="4"/>
  <c r="H47" i="4"/>
  <c r="E47" i="4"/>
  <c r="G47" i="4" s="1"/>
  <c r="L46" i="4"/>
  <c r="H46" i="4"/>
  <c r="I46" i="4" s="1"/>
  <c r="G46" i="4"/>
  <c r="E46" i="4"/>
  <c r="L45" i="4"/>
  <c r="I45" i="4"/>
  <c r="H45" i="4"/>
  <c r="E45" i="4"/>
  <c r="G45" i="4" s="1"/>
  <c r="L44" i="4"/>
  <c r="H44" i="4"/>
  <c r="I44" i="4" s="1"/>
  <c r="G44" i="4"/>
  <c r="E44" i="4"/>
  <c r="L43" i="4"/>
  <c r="I43" i="4"/>
  <c r="H43" i="4"/>
  <c r="E43" i="4"/>
  <c r="G43" i="4" s="1"/>
  <c r="M42" i="4"/>
  <c r="L42" i="4"/>
  <c r="H42" i="4"/>
  <c r="I42" i="4" s="1"/>
  <c r="G42" i="4"/>
  <c r="E42" i="4"/>
  <c r="L41" i="4"/>
  <c r="H41" i="4"/>
  <c r="I41" i="4" s="1"/>
  <c r="N41" i="4" s="1"/>
  <c r="O41" i="4" s="1"/>
  <c r="P41" i="4" s="1"/>
  <c r="G41" i="4"/>
  <c r="M41" i="4" s="1"/>
  <c r="E41" i="4"/>
  <c r="L40" i="4"/>
  <c r="H40" i="4"/>
  <c r="I40" i="4" s="1"/>
  <c r="G40" i="4"/>
  <c r="E40" i="4"/>
  <c r="L39" i="4"/>
  <c r="I39" i="4"/>
  <c r="H39" i="4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K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I33" i="4"/>
  <c r="H33" i="4"/>
  <c r="E33" i="4"/>
  <c r="G33" i="4" s="1"/>
  <c r="L32" i="4"/>
  <c r="H32" i="4"/>
  <c r="I32" i="4" s="1"/>
  <c r="G32" i="4"/>
  <c r="E32" i="4"/>
  <c r="M31" i="4"/>
  <c r="L31" i="4"/>
  <c r="H31" i="4"/>
  <c r="G31" i="4"/>
  <c r="K31" i="4" s="1"/>
  <c r="M30" i="4"/>
  <c r="L30" i="4"/>
  <c r="H30" i="4"/>
  <c r="G30" i="4"/>
  <c r="K30" i="4" s="1"/>
  <c r="M29" i="4"/>
  <c r="L29" i="4"/>
  <c r="H29" i="4"/>
  <c r="I29" i="4" s="1"/>
  <c r="K29" i="4" s="1"/>
  <c r="G29" i="4"/>
  <c r="L28" i="4"/>
  <c r="I28" i="4"/>
  <c r="H28" i="4"/>
  <c r="E28" i="4"/>
  <c r="G28" i="4" s="1"/>
  <c r="L27" i="4"/>
  <c r="H27" i="4"/>
  <c r="G27" i="4"/>
  <c r="M27" i="4" s="1"/>
  <c r="E27" i="4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M24" i="4"/>
  <c r="L24" i="4"/>
  <c r="H24" i="4"/>
  <c r="G24" i="4"/>
  <c r="E24" i="4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M19" i="4"/>
  <c r="L19" i="4"/>
  <c r="H19" i="4"/>
  <c r="I19" i="4" s="1"/>
  <c r="G19" i="4"/>
  <c r="E19" i="4"/>
  <c r="L18" i="4"/>
  <c r="I18" i="4"/>
  <c r="H18" i="4"/>
  <c r="E18" i="4"/>
  <c r="G18" i="4" s="1"/>
  <c r="L17" i="4"/>
  <c r="H17" i="4"/>
  <c r="G17" i="4"/>
  <c r="E17" i="4"/>
  <c r="L16" i="4"/>
  <c r="I16" i="4"/>
  <c r="H16" i="4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G13" i="4"/>
  <c r="M13" i="4" s="1"/>
  <c r="E13" i="4"/>
  <c r="L12" i="4"/>
  <c r="H12" i="4"/>
  <c r="G12" i="4"/>
  <c r="M12" i="4" s="1"/>
  <c r="E12" i="4"/>
  <c r="L11" i="4"/>
  <c r="H11" i="4"/>
  <c r="E11" i="4"/>
  <c r="G11" i="4" s="1"/>
  <c r="K11" i="4" s="1"/>
  <c r="M10" i="4"/>
  <c r="L10" i="4"/>
  <c r="H10" i="4"/>
  <c r="G10" i="4"/>
  <c r="L9" i="4"/>
  <c r="I9" i="4"/>
  <c r="H9" i="4"/>
  <c r="E9" i="4"/>
  <c r="G9" i="4" s="1"/>
  <c r="M8" i="4"/>
  <c r="L8" i="4"/>
  <c r="H8" i="4"/>
  <c r="I8" i="4" s="1"/>
  <c r="G8" i="4"/>
  <c r="K8" i="4" s="1"/>
  <c r="E8" i="4"/>
  <c r="L7" i="4"/>
  <c r="K7" i="4"/>
  <c r="I7" i="4"/>
  <c r="H7" i="4"/>
  <c r="E7" i="4"/>
  <c r="G7" i="4" s="1"/>
  <c r="M6" i="4"/>
  <c r="L6" i="4"/>
  <c r="H6" i="4"/>
  <c r="I6" i="4" s="1"/>
  <c r="G6" i="4"/>
  <c r="E6" i="4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61" i="4" l="1"/>
  <c r="N61" i="4" s="1"/>
  <c r="O61" i="4" s="1"/>
  <c r="P61" i="4" s="1"/>
  <c r="M61" i="4"/>
  <c r="K59" i="4"/>
  <c r="N59" i="4" s="1"/>
  <c r="O59" i="4" s="1"/>
  <c r="P59" i="4" s="1"/>
  <c r="M59" i="4"/>
  <c r="K57" i="4"/>
  <c r="N57" i="4" s="1"/>
  <c r="O57" i="4" s="1"/>
  <c r="P57" i="4" s="1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N9" i="4" s="1"/>
  <c r="O9" i="4" s="1"/>
  <c r="P9" i="4" s="1"/>
  <c r="M116" i="3"/>
  <c r="N116" i="3" s="1"/>
  <c r="O116" i="3" s="1"/>
  <c r="M34" i="4"/>
  <c r="N34" i="4" s="1"/>
  <c r="O34" i="4" s="1"/>
  <c r="P34" i="4" s="1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N18" i="4" s="1"/>
  <c r="O18" i="4" s="1"/>
  <c r="P18" i="4" s="1"/>
  <c r="M32" i="4"/>
  <c r="K32" i="4"/>
  <c r="N32" i="4" s="1"/>
  <c r="O32" i="4" s="1"/>
  <c r="P32" i="4" s="1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N40" i="4" s="1"/>
  <c r="O40" i="4" s="1"/>
  <c r="P40" i="4" s="1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N15" i="4" s="1"/>
  <c r="O15" i="4" s="1"/>
  <c r="P15" i="4" s="1"/>
  <c r="M16" i="4"/>
  <c r="N16" i="4" s="1"/>
  <c r="O16" i="4" s="1"/>
  <c r="P16" i="4" s="1"/>
  <c r="K16" i="4"/>
  <c r="N25" i="4"/>
  <c r="O25" i="4" s="1"/>
  <c r="P25" i="4" s="1"/>
  <c r="K25" i="4"/>
  <c r="K26" i="4"/>
  <c r="M28" i="4"/>
  <c r="K28" i="4"/>
  <c r="N28" i="4" s="1"/>
  <c r="O28" i="4" s="1"/>
  <c r="P28" i="4" s="1"/>
  <c r="N29" i="4"/>
  <c r="O29" i="4" s="1"/>
  <c r="P29" i="4" s="1"/>
  <c r="K74" i="4"/>
  <c r="N74" i="4"/>
  <c r="O74" i="4" s="1"/>
  <c r="P74" i="4" s="1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K20" i="4"/>
  <c r="N20" i="4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N23" i="4" s="1"/>
  <c r="O23" i="4" s="1"/>
  <c r="P23" i="4" s="1"/>
  <c r="K23" i="4"/>
  <c r="N36" i="4"/>
  <c r="O36" i="4" s="1"/>
  <c r="P36" i="4" s="1"/>
  <c r="M36" i="4"/>
  <c r="K37" i="4"/>
  <c r="N37" i="4"/>
  <c r="O37" i="4" s="1"/>
  <c r="P37" i="4" s="1"/>
  <c r="K56" i="4"/>
  <c r="N56" i="4"/>
  <c r="O56" i="4" s="1"/>
  <c r="P56" i="4" s="1"/>
  <c r="M56" i="4"/>
  <c r="M67" i="4"/>
  <c r="K67" i="4"/>
  <c r="N67" i="4"/>
  <c r="O67" i="4" s="1"/>
  <c r="P67" i="4" s="1"/>
  <c r="N8" i="4"/>
  <c r="O8" i="4" s="1"/>
  <c r="P8" i="4" s="1"/>
  <c r="K12" i="4"/>
  <c r="N12" i="4" s="1"/>
  <c r="O12" i="4" s="1"/>
  <c r="P12" i="4" s="1"/>
  <c r="N19" i="4"/>
  <c r="O19" i="4" s="1"/>
  <c r="P19" i="4" s="1"/>
  <c r="N26" i="4"/>
  <c r="O26" i="4" s="1"/>
  <c r="P26" i="4" s="1"/>
  <c r="N30" i="4"/>
  <c r="O30" i="4" s="1"/>
  <c r="P30" i="4" s="1"/>
  <c r="K39" i="4"/>
  <c r="M39" i="4"/>
  <c r="K44" i="4"/>
  <c r="N44" i="4" s="1"/>
  <c r="O44" i="4" s="1"/>
  <c r="P44" i="4" s="1"/>
  <c r="M44" i="4"/>
  <c r="M45" i="4"/>
  <c r="K45" i="4"/>
  <c r="N45" i="4" s="1"/>
  <c r="O45" i="4" s="1"/>
  <c r="P45" i="4" s="1"/>
  <c r="K48" i="4"/>
  <c r="N48" i="4"/>
  <c r="O48" i="4" s="1"/>
  <c r="P48" i="4" s="1"/>
  <c r="M48" i="4"/>
  <c r="M49" i="4"/>
  <c r="K49" i="4"/>
  <c r="N49" i="4"/>
  <c r="O49" i="4" s="1"/>
  <c r="P49" i="4" s="1"/>
  <c r="K52" i="4"/>
  <c r="N52" i="4" s="1"/>
  <c r="O52" i="4" s="1"/>
  <c r="P52" i="4" s="1"/>
  <c r="M52" i="4"/>
  <c r="M53" i="4"/>
  <c r="K53" i="4"/>
  <c r="N53" i="4" s="1"/>
  <c r="O53" i="4" s="1"/>
  <c r="P53" i="4" s="1"/>
  <c r="K58" i="4"/>
  <c r="M58" i="4"/>
  <c r="N58" i="4" s="1"/>
  <c r="O58" i="4" s="1"/>
  <c r="P58" i="4" s="1"/>
  <c r="K78" i="4"/>
  <c r="N78" i="4"/>
  <c r="O78" i="4" s="1"/>
  <c r="P78" i="4" s="1"/>
  <c r="M78" i="4"/>
  <c r="N31" i="4"/>
  <c r="O31" i="4" s="1"/>
  <c r="P31" i="4" s="1"/>
  <c r="K33" i="4"/>
  <c r="N33" i="4" s="1"/>
  <c r="O33" i="4" s="1"/>
  <c r="P33" i="4" s="1"/>
  <c r="M33" i="4"/>
  <c r="N39" i="4"/>
  <c r="O39" i="4" s="1"/>
  <c r="P39" i="4" s="1"/>
  <c r="K42" i="4"/>
  <c r="N42" i="4" s="1"/>
  <c r="O42" i="4" s="1"/>
  <c r="P42" i="4" s="1"/>
  <c r="K60" i="4"/>
  <c r="N60" i="4"/>
  <c r="O60" i="4" s="1"/>
  <c r="P60" i="4" s="1"/>
  <c r="M60" i="4"/>
  <c r="K82" i="4"/>
  <c r="N82" i="4"/>
  <c r="O82" i="4" s="1"/>
  <c r="P82" i="4" s="1"/>
  <c r="M82" i="4"/>
  <c r="L108" i="4"/>
  <c r="K27" i="4"/>
  <c r="N27" i="4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N46" i="4"/>
  <c r="O46" i="4" s="1"/>
  <c r="P46" i="4" s="1"/>
  <c r="M46" i="4"/>
  <c r="M47" i="4"/>
  <c r="K47" i="4"/>
  <c r="N47" i="4"/>
  <c r="O47" i="4" s="1"/>
  <c r="P47" i="4" s="1"/>
  <c r="K50" i="4"/>
  <c r="N50" i="4" s="1"/>
  <c r="O50" i="4" s="1"/>
  <c r="P50" i="4" s="1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N62" i="4"/>
  <c r="O62" i="4" s="1"/>
  <c r="P62" i="4" s="1"/>
  <c r="M62" i="4"/>
  <c r="K66" i="4"/>
  <c r="N66" i="4"/>
  <c r="O66" i="4" s="1"/>
  <c r="P66" i="4" s="1"/>
  <c r="M68" i="4"/>
  <c r="Q6" i="6"/>
  <c r="R6" i="6" s="1"/>
  <c r="N6" i="6"/>
  <c r="K65" i="4"/>
  <c r="N68" i="4"/>
  <c r="O68" i="4" s="1"/>
  <c r="P68" i="4" s="1"/>
  <c r="N69" i="4"/>
  <c r="O69" i="4" s="1"/>
  <c r="P69" i="4" s="1"/>
  <c r="M70" i="4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M108" i="4" l="1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<sst xmlns="http://schemas.openxmlformats.org/spreadsheetml/2006/main" count="1906" uniqueCount="562">
  <si>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</si>
  <si>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</si>
  <si>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</si>
  <si>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</si>
  <si>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</si>
  <si>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</si>
  <si>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</si>
  <si>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</si>
  <si>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</si>
  <si>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</si>
  <si>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</si>
  <si>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</si>
  <si>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</si>
  <si>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</si>
  <si>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</si>
  <si>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</si>
  <si>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</si>
  <si>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</si>
  <si>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</si>
  <si>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</si>
  <si>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</si>
  <si>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</si>
  <si>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</si>
  <si>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</si>
  <si>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</si>
  <si>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</si>
  <si>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</si>
  <si>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</si>
  <si>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</si>
  <si>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</si>
  <si>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</si>
  <si>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</si>
  <si>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</si>
  <si>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</si>
  <si>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</si>
  <si>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</si>
  <si>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</si>
  <si>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</si>
  <si>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</si>
  <si>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</si>
  <si>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</si>
  <si>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</si>
  <si>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</si>
  <si>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</si>
  <si>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</si>
  <si>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</si>
  <si>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</si>
  <si>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</si>
  <si>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</si>
  <si>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</si>
  <si>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</si>
  <si>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</si>
  <si>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</si>
  <si>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</si>
  <si>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</si>
  <si>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</si>
  <si>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</si>
  <si>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</si>
  <si>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</si>
  <si>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</si>
  <si>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</si>
  <si>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</si>
  <si>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</si>
  <si>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</si>
  <si>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</si>
  <si>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</si>
  <si>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</si>
  <si>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</si>
  <si>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</si>
  <si>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</si>
  <si>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</si>
  <si>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</si>
  <si>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</si>
  <si>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</si>
  <si>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</si>
  <si>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</si>
  <si>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</si>
  <si>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</si>
  <si>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</si>
  <si>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</si>
  <si>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</si>
  <si>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</si>
  <si>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</si>
  <si>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</si>
  <si>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</si>
  <si>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</si>
  <si>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</si>
  <si>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</si>
  <si>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</si>
  <si>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</si>
  <si>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</si>
  <si>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</si>
  <si>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</si>
  <si>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</si>
  <si>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</si>
  <si>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</si>
  <si>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</si>
  <si>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</si>
  <si>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</si>
  <si>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</si>
  <si>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</si>
  <si>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</si>
  <si>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</si>
  <si>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</si>
  <si>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</si>
  <si>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</si>
  <si>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</si>
  <si>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</si>
  <si>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</si>
  <si>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</si>
  <si>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</si>
  <si>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</si>
  <si>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</si>
  <si>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</si>
  <si>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</si>
  <si>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</si>
  <si>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</si>
  <si>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</si>
  <si>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</si>
  <si>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</si>
  <si>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</si>
  <si>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</si>
  <si>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</si>
  <si>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</si>
  <si>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</si>
  <si>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</si>
  <si>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</si>
  <si>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</si>
  <si>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</si>
  <si>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</si>
  <si>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</si>
  <si>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</si>
  <si>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</si>
  <si>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</si>
  <si>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</si>
  <si>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</si>
  <si>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</si>
  <si>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</si>
  <si>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</si>
  <si>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</si>
  <si>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</si>
  <si>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</si>
  <si>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</si>
  <si>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</si>
  <si>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</si>
  <si>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</si>
  <si>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</si>
  <si>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</si>
  <si>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</si>
  <si>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</si>
  <si>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</si>
  <si>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</si>
  <si>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</si>
  <si>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</si>
  <si>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</si>
  <si>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</si>
  <si>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</si>
  <si>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</si>
  <si>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</si>
  <si>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</si>
  <si>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</si>
  <si>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</si>
  <si>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</si>
  <si>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</si>
  <si>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</si>
  <si>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</si>
  <si>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</si>
  <si>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</si>
  <si>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</si>
  <si>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</si>
  <si>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</si>
  <si>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</si>
  <si>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</si>
  <si>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</si>
  <si>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</si>
  <si>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</si>
  <si>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</si>
  <si>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</si>
  <si>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</si>
  <si>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</si>
  <si>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</si>
  <si>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</si>
  <si>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</si>
  <si>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</si>
  <si>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</si>
  <si>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</si>
  <si>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</si>
  <si>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</si>
  <si>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</si>
  <si>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</si>
  <si>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</si>
  <si>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</si>
  <si>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</si>
  <si>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</si>
  <si>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</si>
  <si>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</si>
  <si>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</si>
  <si>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</si>
  <si>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</si>
  <si>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</si>
  <si>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</si>
  <si>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</si>
  <si>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</si>
  <si>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</si>
  <si>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</si>
  <si>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</si>
  <si>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</si>
  <si>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</si>
  <si>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</si>
  <si>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</si>
  <si>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</si>
  <si>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</si>
  <si>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</si>
  <si>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</si>
  <si>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</si>
  <si>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</si>
  <si>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</si>
  <si>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</si>
  <si>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</si>
  <si>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</si>
  <si>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</si>
  <si>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</si>
  <si>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</si>
  <si>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</si>
  <si>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</si>
  <si>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</si>
  <si>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</si>
  <si>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</si>
  <si>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</si>
  <si>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</si>
  <si>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</si>
  <si>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</si>
  <si>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</si>
  <si>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</si>
  <si>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</si>
  <si>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</si>
  <si>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</si>
  <si>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</si>
  <si>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</si>
  <si>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</si>
  <si>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</si>
  <si>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</si>
  <si>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</si>
  <si>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</si>
  <si>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</si>
  <si>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</si>
  <si>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</si>
  <si>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</si>
  <si>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</si>
  <si>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</si>
  <si>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</si>
  <si>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</si>
  <si>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</si>
  <si>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</si>
  <si>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</si>
  <si>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</si>
  <si>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</si>
  <si>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</si>
  <si>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</si>
  <si>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</si>
  <si>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</si>
  <si>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</si>
  <si>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</si>
  <si>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</si>
  <si>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</si>
  <si>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</si>
  <si>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</si>
  <si>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</si>
  <si>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</si>
  <si>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</si>
  <si>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</si>
  <si>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</si>
  <si>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</si>
  <si>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</si>
  <si>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</si>
  <si>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</si>
  <si>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</si>
  <si>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</si>
  <si>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</si>
  <si>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</si>
  <si>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</si>
  <si>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</si>
  <si>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</si>
  <si>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</si>
  <si>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</si>
  <si>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</si>
  <si>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</si>
  <si>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</si>
  <si>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</si>
  <si>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</si>
  <si>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</si>
  <si>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</si>
  <si>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</si>
  <si>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</si>
  <si>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</si>
  <si>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</si>
  <si>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</si>
  <si>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</si>
  <si>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</si>
  <si>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</si>
  <si>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</si>
  <si>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</si>
  <si>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</si>
  <si>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</si>
  <si>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</si>
  <si>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</si>
  <si>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</si>
  <si>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</si>
  <si>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</si>
  <si>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</si>
  <si>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</si>
  <si>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</si>
  <si>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</si>
  <si>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</si>
  <si>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</si>
  <si>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</si>
  <si>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</si>
  <si>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</si>
  <si>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</si>
  <si>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</si>
  <si>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</si>
  <si>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</si>
  <si>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</si>
  <si>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</si>
  <si>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</si>
  <si>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</si>
  <si>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</si>
  <si>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16/08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</si>
  <si>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</si>
  <si>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</si>
  <si>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</si>
  <si>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</si>
  <si>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</si>
  <si>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</si>
  <si>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</si>
  <si>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</si>
  <si>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</si>
  <si>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</si>
  <si>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</si>
  <si>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</si>
  <si>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</si>
  <si>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</si>
  <si>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</si>
  <si>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</si>
  <si>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</si>
  <si>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</si>
  <si>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</si>
  <si>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</si>
  <si>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</si>
  <si>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</si>
  <si>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</si>
  <si>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Nota de reconciliação (até 06/08): mapeamento pedido a pedido soma R$ 6.623,52 em Ads vs R$ 6.455,63 do relatório (diferença de ~R$ 168 = zona cinzenta do par PXP+PXM de 02/07). Fechamento Agosto (08/09/26): valores a preço de tabela (convenção do painel); 3 pedidos com promo 5% somam −R$ 341,24 vs receita real (Registro_Vendas preserva a real). Atribuição cruzada com Produtos Anunciados 25/07–23/08 + 08/08–06/09; sanidade fechada com Campaign export (Geral 9 compras = R$ 3.561,62, bijeção exata). Halo Q2430-A→Q3060-A confirmado. Atribuição valoriza a preço de tabela (MEMORIA 31/08).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</si>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</sst>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%"/>
    <numFmt numFmtId="165" formatCode="&quot;R$ &quot;#,##0.00"/>
    <numFmt numFmtId="166" formatCode="m/d/yyyy"/>
  </numFmts>
  <fonts count="10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topLeftCell="F1" zoomScaleNormal="100" workbookViewId="0">
      <pane ySplit="5" topLeftCell="A57" activePane="bottomLeft" state="frozen"/>
      <selection pane="bottomLeft" activeCell="R64" sqref="R64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559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560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560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560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560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560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560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560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560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560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560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560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560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560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560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560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560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560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560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560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560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560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560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560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560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560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560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560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560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560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560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560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560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560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560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560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560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560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560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560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560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560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560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560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560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560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560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560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/>
      <c r="R53" s="19"/>
      <c r="S53" t="s">
        <v>560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561</v>
      </c>
      <c r="R54" s="19"/>
      <c r="S54" t="s">
        <v>558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Q55" s="19"/>
      <c r="R55" s="19"/>
      <c r="S55" t="s">
        <v>560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/>
      <c r="S56" t="s">
        <v>560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/>
      <c r="S57" t="s">
        <v>560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410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/>
      <c r="S58" t="s">
        <v>560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/>
      <c r="S59" t="s">
        <v>560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/>
      <c r="S60" t="s">
        <v>560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398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/>
      <c r="S61" t="s">
        <v>560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/>
      <c r="R62" s="19"/>
      <c r="S62" t="s">
        <v>560</v>
      </c>
    </row>
    <row r="63" spans="1:19" ht="15" customHeight="1" x14ac:dyDescent="0.25">
      <c r="A63" s="32"/>
      <c r="B63" s="19"/>
      <c r="C63" s="19"/>
      <c r="D63" s="19"/>
      <c r="E63" s="20" t="str">
        <f>IF($B63="","",INDEX(Simulador!$D$7:$D$232,MATCH($B63,Simulador!$A$7:$A$232,0)))</f>
        <v/>
      </c>
      <c r="F63" s="20"/>
      <c r="G63" s="13" t="str">
        <f t="shared" si="6"/>
        <v/>
      </c>
      <c r="H63" s="8" t="str">
        <f>IF($B63="","",INDEX(Simulador!$B$7:$B$232,MATCH($B63,Simulador!$A$7:$A$232,0)))</f>
        <v/>
      </c>
      <c r="I63" s="13" t="str">
        <f>IF(OR(H63="",$D63=""),"",INDEX(Ref_Frete!$B$2:$G$54,MATCH($D63,Ref_Frete!$A$2:$A$54,0),IF(H63="Pequenos",2,IF(H63="Medios",4,6))))</f>
        <v/>
      </c>
      <c r="J63" s="20"/>
      <c r="K63" s="20" t="str">
        <f t="shared" si="11"/>
        <v/>
      </c>
      <c r="L63" s="13" t="str">
        <f>IF(OR($B63="",$C63=""),"",$C63*INDEX(Simulador!$F$7:$F$232,MATCH($B63,Simulador!$A$7:$A$232,0)))</f>
        <v/>
      </c>
      <c r="M63" s="13" t="str">
        <f t="shared" si="7"/>
        <v/>
      </c>
      <c r="N63" s="35" t="str">
        <f t="shared" si="8"/>
        <v/>
      </c>
      <c r="O63" s="12" t="str">
        <f t="shared" si="9"/>
        <v/>
      </c>
      <c r="P63" s="22" t="str">
        <f t="shared" si="10"/>
        <v/>
      </c>
      <c r="Q63" s="19"/>
      <c r="R63" s="19"/>
    </row>
    <row r="64" spans="1:19" ht="15" customHeight="1" x14ac:dyDescent="0.25">
      <c r="A64" s="32"/>
      <c r="B64" s="19"/>
      <c r="C64" s="19"/>
      <c r="D64" s="19"/>
      <c r="E64" s="20" t="str">
        <f>IF($B64="","",INDEX(Simulador!$D$7:$D$232,MATCH($B64,Simulador!$A$7:$A$232,0)))</f>
        <v/>
      </c>
      <c r="F64" s="20"/>
      <c r="G64" s="13" t="str">
        <f t="shared" si="6"/>
        <v/>
      </c>
      <c r="H64" s="8" t="str">
        <f>IF($B64="","",INDEX(Simulador!$B$7:$B$232,MATCH($B64,Simulador!$A$7:$A$232,0)))</f>
        <v/>
      </c>
      <c r="I64" s="13" t="str">
        <f>IF(OR(H64="",$D64=""),"",INDEX(Ref_Frete!$B$2:$G$54,MATCH($D64,Ref_Frete!$A$2:$A$54,0),IF(H64="Pequenos",2,IF(H64="Medios",4,6))))</f>
        <v/>
      </c>
      <c r="J64" s="20"/>
      <c r="K64" s="20" t="str">
        <f t="shared" si="11"/>
        <v/>
      </c>
      <c r="L64" s="13" t="str">
        <f>IF(OR($B64="",$C64=""),"",$C64*INDEX(Simulador!$F$7:$F$232,MATCH($B64,Simulador!$A$7:$A$232,0)))</f>
        <v/>
      </c>
      <c r="M64" s="13" t="str">
        <f t="shared" si="7"/>
        <v/>
      </c>
      <c r="N64" s="35" t="str">
        <f t="shared" si="8"/>
        <v/>
      </c>
      <c r="O64" s="12" t="str">
        <f t="shared" si="9"/>
        <v/>
      </c>
      <c r="P64" s="22" t="str">
        <f t="shared" si="10"/>
        <v/>
      </c>
      <c r="Q64" s="19"/>
      <c r="R64" s="19"/>
    </row>
    <row r="65" spans="1:18" ht="15" customHeight="1" x14ac:dyDescent="0.25">
      <c r="A65" s="32"/>
      <c r="B65" s="19"/>
      <c r="C65" s="19"/>
      <c r="D65" s="19"/>
      <c r="E65" s="20" t="str">
        <f>IF($B65="","",INDEX(Simulador!$D$7:$D$232,MATCH($B65,Simulador!$A$7:$A$232,0)))</f>
        <v/>
      </c>
      <c r="F65" s="20"/>
      <c r="G65" s="13" t="str">
        <f t="shared" si="6"/>
        <v/>
      </c>
      <c r="H65" s="8" t="str">
        <f>IF($B65="","",INDEX(Simulador!$B$7:$B$232,MATCH($B65,Simulador!$A$7:$A$232,0)))</f>
        <v/>
      </c>
      <c r="I65" s="13" t="str">
        <f>IF(OR(H65="",$D65=""),"",INDEX(Ref_Frete!$B$2:$G$54,MATCH($D65,Ref_Frete!$A$2:$A$54,0),IF(H65="Pequenos",2,IF(H65="Medios",4,6))))</f>
        <v/>
      </c>
      <c r="J65" s="20"/>
      <c r="K65" s="20" t="str">
        <f t="shared" si="11"/>
        <v/>
      </c>
      <c r="L65" s="13" t="str">
        <f>IF(OR($B65="",$C65=""),"",$C65*INDEX(Simulador!$F$7:$F$232,MATCH($B65,Simulador!$A$7:$A$232,0)))</f>
        <v/>
      </c>
      <c r="M65" s="13" t="str">
        <f t="shared" si="7"/>
        <v/>
      </c>
      <c r="N65" s="35" t="str">
        <f t="shared" si="8"/>
        <v/>
      </c>
      <c r="O65" s="12" t="str">
        <f t="shared" si="9"/>
        <v/>
      </c>
      <c r="P65" s="22" t="str">
        <f t="shared" si="10"/>
        <v/>
      </c>
      <c r="Q65" s="19"/>
      <c r="R65" s="19"/>
    </row>
    <row r="66" spans="1:18" ht="15" customHeight="1" x14ac:dyDescent="0.25">
      <c r="A66" s="32"/>
      <c r="B66" s="19"/>
      <c r="C66" s="19"/>
      <c r="D66" s="19"/>
      <c r="E66" s="20" t="str">
        <f>IF($B66="","",INDEX(Simulador!$D$7:$D$232,MATCH($B66,Simulador!$A$7:$A$232,0)))</f>
        <v/>
      </c>
      <c r="F66" s="20"/>
      <c r="G66" s="13" t="str">
        <f t="shared" si="6"/>
        <v/>
      </c>
      <c r="H66" s="8" t="str">
        <f>IF($B66="","",INDEX(Simulador!$B$7:$B$232,MATCH($B66,Simulador!$A$7:$A$232,0)))</f>
        <v/>
      </c>
      <c r="I66" s="13" t="str">
        <f>IF(OR(H66="",$D66=""),"",INDEX(Ref_Frete!$B$2:$G$54,MATCH($D66,Ref_Frete!$A$2:$A$54,0),IF(H66="Pequenos",2,IF(H66="Medios",4,6))))</f>
        <v/>
      </c>
      <c r="J66" s="20"/>
      <c r="K66" s="20" t="str">
        <f t="shared" si="11"/>
        <v/>
      </c>
      <c r="L66" s="13" t="str">
        <f>IF(OR($B66="",$C66=""),"",$C66*INDEX(Simulador!$F$7:$F$232,MATCH($B66,Simulador!$A$7:$A$232,0)))</f>
        <v/>
      </c>
      <c r="M66" s="13" t="str">
        <f t="shared" si="7"/>
        <v/>
      </c>
      <c r="N66" s="35" t="str">
        <f t="shared" si="8"/>
        <v/>
      </c>
      <c r="O66" s="12" t="str">
        <f t="shared" si="9"/>
        <v/>
      </c>
      <c r="P66" s="22" t="str">
        <f t="shared" si="10"/>
        <v/>
      </c>
      <c r="Q66" s="19"/>
      <c r="R66" s="19"/>
    </row>
    <row r="67" spans="1:18" ht="15" customHeight="1" x14ac:dyDescent="0.25">
      <c r="A67" s="32"/>
      <c r="B67" s="19"/>
      <c r="C67" s="19"/>
      <c r="D67" s="19"/>
      <c r="E67" s="20" t="str">
        <f>IF($B67="","",INDEX(Simulador!$D$7:$D$232,MATCH($B67,Simulador!$A$7:$A$232,0)))</f>
        <v/>
      </c>
      <c r="F67" s="20"/>
      <c r="G67" s="13" t="str">
        <f t="shared" si="6"/>
        <v/>
      </c>
      <c r="H67" s="8" t="str">
        <f>IF($B67="","",INDEX(Simulador!$B$7:$B$232,MATCH($B67,Simulador!$A$7:$A$232,0)))</f>
        <v/>
      </c>
      <c r="I67" s="13" t="str">
        <f>IF(OR(H67="",$D67=""),"",INDEX(Ref_Frete!$B$2:$G$54,MATCH($D67,Ref_Frete!$A$2:$A$54,0),IF(H67="Pequenos",2,IF(H67="Medios",4,6))))</f>
        <v/>
      </c>
      <c r="J67" s="20"/>
      <c r="K67" s="20" t="str">
        <f t="shared" si="11"/>
        <v/>
      </c>
      <c r="L67" s="13" t="str">
        <f>IF(OR($B67="",$C67=""),"",$C67*INDEX(Simulador!$F$7:$F$232,MATCH($B67,Simulador!$A$7:$A$232,0)))</f>
        <v/>
      </c>
      <c r="M67" s="13" t="str">
        <f t="shared" si="7"/>
        <v/>
      </c>
      <c r="N67" s="35" t="str">
        <f t="shared" si="8"/>
        <v/>
      </c>
      <c r="O67" s="12" t="str">
        <f t="shared" si="9"/>
        <v/>
      </c>
      <c r="P67" s="22" t="str">
        <f t="shared" si="10"/>
        <v/>
      </c>
      <c r="Q67" s="19"/>
      <c r="R67" s="19"/>
    </row>
    <row r="68" spans="1:18" ht="15" customHeight="1" x14ac:dyDescent="0.25">
      <c r="A68" s="32"/>
      <c r="B68" s="19"/>
      <c r="C68" s="19"/>
      <c r="D68" s="19"/>
      <c r="E68" s="20" t="str">
        <f>IF($B68="","",INDEX(Simulador!$D$7:$D$232,MATCH($B68,Simulador!$A$7:$A$232,0)))</f>
        <v/>
      </c>
      <c r="F68" s="20"/>
      <c r="G68" s="13" t="str">
        <f t="shared" si="6"/>
        <v/>
      </c>
      <c r="H68" s="8" t="str">
        <f>IF($B68="","",INDEX(Simulador!$B$7:$B$232,MATCH($B68,Simulador!$A$7:$A$232,0)))</f>
        <v/>
      </c>
      <c r="I68" s="13" t="str">
        <f>IF(OR(H68="",$D68=""),"",INDEX(Ref_Frete!$B$2:$G$54,MATCH($D68,Ref_Frete!$A$2:$A$54,0),IF(H68="Pequenos",2,IF(H68="Medios",4,6))))</f>
        <v/>
      </c>
      <c r="J68" s="20"/>
      <c r="K68" s="20" t="str">
        <f t="shared" si="11"/>
        <v/>
      </c>
      <c r="L68" s="13" t="str">
        <f>IF(OR($B68="",$C68=""),"",$C68*INDEX(Simulador!$F$7:$F$232,MATCH($B68,Simulador!$A$7:$A$232,0)))</f>
        <v/>
      </c>
      <c r="M68" s="13" t="str">
        <f t="shared" si="7"/>
        <v/>
      </c>
      <c r="N68" s="35" t="str">
        <f t="shared" si="8"/>
        <v/>
      </c>
      <c r="O68" s="12" t="str">
        <f t="shared" si="9"/>
        <v/>
      </c>
      <c r="P68" s="22" t="str">
        <f t="shared" si="10"/>
        <v/>
      </c>
      <c r="Q68" s="19"/>
      <c r="R68" s="19"/>
    </row>
    <row r="69" spans="1:18" ht="15" customHeight="1" x14ac:dyDescent="0.25">
      <c r="A69" s="32"/>
      <c r="B69" s="19"/>
      <c r="C69" s="19"/>
      <c r="D69" s="19"/>
      <c r="E69" s="20" t="str">
        <f>IF($B69="","",INDEX(Simulador!$D$7:$D$232,MATCH($B69,Simulador!$A$7:$A$232,0)))</f>
        <v/>
      </c>
      <c r="F69" s="20"/>
      <c r="G69" s="13" t="str">
        <f t="shared" si="6"/>
        <v/>
      </c>
      <c r="H69" s="8" t="str">
        <f>IF($B69="","",INDEX(Simulador!$B$7:$B$232,MATCH($B69,Simulador!$A$7:$A$232,0)))</f>
        <v/>
      </c>
      <c r="I69" s="13" t="str">
        <f>IF(OR(H69="",$D69=""),"",INDEX(Ref_Frete!$B$2:$G$54,MATCH($D69,Ref_Frete!$A$2:$A$54,0),IF(H69="Pequenos",2,IF(H69="Medios",4,6))))</f>
        <v/>
      </c>
      <c r="J69" s="20"/>
      <c r="K69" s="20" t="str">
        <f t="shared" si="11"/>
        <v/>
      </c>
      <c r="L69" s="13" t="str">
        <f>IF(OR($B69="",$C69=""),"",$C69*INDEX(Simulador!$F$7:$F$232,MATCH($B69,Simulador!$A$7:$A$232,0)))</f>
        <v/>
      </c>
      <c r="M69" s="13" t="str">
        <f t="shared" si="7"/>
        <v/>
      </c>
      <c r="N69" s="35" t="str">
        <f t="shared" si="8"/>
        <v/>
      </c>
      <c r="O69" s="12" t="str">
        <f t="shared" si="9"/>
        <v/>
      </c>
      <c r="P69" s="22" t="str">
        <f t="shared" si="10"/>
        <v/>
      </c>
      <c r="Q69" s="19"/>
      <c r="R69" s="19"/>
    </row>
    <row r="70" spans="1:18" ht="15" customHeight="1" x14ac:dyDescent="0.25">
      <c r="A70" s="32"/>
      <c r="B70" s="19"/>
      <c r="C70" s="19"/>
      <c r="D70" s="19"/>
      <c r="E70" s="20" t="str">
        <f>IF($B70="","",INDEX(Simulador!$D$7:$D$232,MATCH($B70,Simulador!$A$7:$A$232,0)))</f>
        <v/>
      </c>
      <c r="F70" s="20"/>
      <c r="G70" s="13" t="str">
        <f t="shared" ref="G70:G101" si="12">IF(OR($B70="",$C70=""),"",$C70*E70-IF(F70="",0,F70))</f>
        <v/>
      </c>
      <c r="H70" s="8" t="str">
        <f>IF($B70="","",INDEX(Simulador!$B$7:$B$232,MATCH($B70,Simulador!$A$7:$A$232,0)))</f>
        <v/>
      </c>
      <c r="I70" s="13" t="str">
        <f>IF(OR(H70="",$D70=""),"",INDEX(Ref_Frete!$B$2:$G$54,MATCH($D70,Ref_Frete!$A$2:$A$54,0),IF(H70="Pequenos",2,IF(H70="Medios",4,6))))</f>
        <v/>
      </c>
      <c r="J70" s="20"/>
      <c r="K70" s="20" t="str">
        <f t="shared" si="11"/>
        <v/>
      </c>
      <c r="L70" s="13" t="str">
        <f>IF(OR($B70="",$C70=""),"",$C70*INDEX(Simulador!$F$7:$F$232,MATCH($B70,Simulador!$A$7:$A$232,0)))</f>
        <v/>
      </c>
      <c r="M70" s="13" t="str">
        <f t="shared" ref="M70:M101" si="13">IF(G70="","",G70*$B$3)</f>
        <v/>
      </c>
      <c r="N70" s="35" t="str">
        <f t="shared" ref="N70:N101" si="14">IF(OR(G70="",J70=""),"",G70+IF(I70="",0,I70)-J70-K70-L70-M70)</f>
        <v/>
      </c>
      <c r="O70" s="12" t="str">
        <f t="shared" ref="O70:O101" si="15">IF(OR(N70="",G70=0,G70=""),"",N70/G70)</f>
        <v/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/>
      </c>
      <c r="Q70" s="19"/>
      <c r="R70" s="19"/>
    </row>
    <row r="71" spans="1:18" ht="15" customHeight="1" x14ac:dyDescent="0.25">
      <c r="A71" s="32"/>
      <c r="B71" s="19"/>
      <c r="C71" s="19"/>
      <c r="D71" s="19"/>
      <c r="E71" s="20" t="str">
        <f>IF($B71="","",INDEX(Simulador!$D$7:$D$232,MATCH($B71,Simulador!$A$7:$A$232,0)))</f>
        <v/>
      </c>
      <c r="F71" s="20"/>
      <c r="G71" s="13" t="str">
        <f t="shared" si="12"/>
        <v/>
      </c>
      <c r="H71" s="8" t="str">
        <f>IF($B71="","",INDEX(Simulador!$B$7:$B$232,MATCH($B71,Simulador!$A$7:$A$232,0)))</f>
        <v/>
      </c>
      <c r="I71" s="13" t="str">
        <f>IF(OR(H71="",$D71=""),"",INDEX(Ref_Frete!$B$2:$G$54,MATCH($D71,Ref_Frete!$A$2:$A$54,0),IF(H71="Pequenos",2,IF(H71="Medios",4,6))))</f>
        <v/>
      </c>
      <c r="J71" s="20"/>
      <c r="K71" s="20" t="str">
        <f t="shared" si="11"/>
        <v/>
      </c>
      <c r="L71" s="13" t="str">
        <f>IF(OR($B71="",$C71=""),"",$C71*INDEX(Simulador!$F$7:$F$232,MATCH($B71,Simulador!$A$7:$A$232,0)))</f>
        <v/>
      </c>
      <c r="M71" s="13" t="str">
        <f t="shared" si="13"/>
        <v/>
      </c>
      <c r="N71" s="35" t="str">
        <f t="shared" si="14"/>
        <v/>
      </c>
      <c r="O71" s="12" t="str">
        <f t="shared" si="15"/>
        <v/>
      </c>
      <c r="P71" s="22" t="str">
        <f t="shared" si="16"/>
        <v/>
      </c>
      <c r="Q71" s="19"/>
      <c r="R71" s="19"/>
    </row>
    <row r="72" spans="1:18" ht="15" customHeight="1" x14ac:dyDescent="0.25">
      <c r="A72" s="32"/>
      <c r="B72" s="19"/>
      <c r="C72" s="19"/>
      <c r="D72" s="19"/>
      <c r="E72" s="20" t="str">
        <f>IF($B72="","",INDEX(Simulador!$D$7:$D$232,MATCH($B72,Simulador!$A$7:$A$232,0)))</f>
        <v/>
      </c>
      <c r="F72" s="20"/>
      <c r="G72" s="13" t="str">
        <f t="shared" si="12"/>
        <v/>
      </c>
      <c r="H72" s="8" t="str">
        <f>IF($B72="","",INDEX(Simulador!$B$7:$B$232,MATCH($B72,Simulador!$A$7:$A$232,0)))</f>
        <v/>
      </c>
      <c r="I72" s="13" t="str">
        <f>IF(OR(H72="",$D72=""),"",INDEX(Ref_Frete!$B$2:$G$54,MATCH($D72,Ref_Frete!$A$2:$A$54,0),IF(H72="Pequenos",2,IF(H72="Medios",4,6))))</f>
        <v/>
      </c>
      <c r="J72" s="20"/>
      <c r="K72" s="20" t="str">
        <f t="shared" si="11"/>
        <v/>
      </c>
      <c r="L72" s="13" t="str">
        <f>IF(OR($B72="",$C72=""),"",$C72*INDEX(Simulador!$F$7:$F$232,MATCH($B72,Simulador!$A$7:$A$232,0)))</f>
        <v/>
      </c>
      <c r="M72" s="13" t="str">
        <f t="shared" si="13"/>
        <v/>
      </c>
      <c r="N72" s="35" t="str">
        <f t="shared" si="14"/>
        <v/>
      </c>
      <c r="O72" s="12" t="str">
        <f t="shared" si="15"/>
        <v/>
      </c>
      <c r="P72" s="22" t="str">
        <f t="shared" si="16"/>
        <v/>
      </c>
      <c r="Q72" s="19"/>
      <c r="R72" s="19"/>
    </row>
    <row r="73" spans="1:18" ht="15" customHeight="1" x14ac:dyDescent="0.25">
      <c r="A73" s="32"/>
      <c r="B73" s="19"/>
      <c r="C73" s="19"/>
      <c r="D73" s="19"/>
      <c r="E73" s="20" t="str">
        <f>IF($B73="","",INDEX(Simulador!$D$7:$D$232,MATCH($B73,Simulador!$A$7:$A$232,0)))</f>
        <v/>
      </c>
      <c r="F73" s="20"/>
      <c r="G73" s="13" t="str">
        <f t="shared" si="12"/>
        <v/>
      </c>
      <c r="H73" s="8" t="str">
        <f>IF($B73="","",INDEX(Simulador!$B$7:$B$232,MATCH($B73,Simulador!$A$7:$A$232,0)))</f>
        <v/>
      </c>
      <c r="I73" s="13" t="str">
        <f>IF(OR(H73="",$D73=""),"",INDEX(Ref_Frete!$B$2:$G$54,MATCH($D73,Ref_Frete!$A$2:$A$54,0),IF(H73="Pequenos",2,IF(H73="Medios",4,6))))</f>
        <v/>
      </c>
      <c r="J73" s="20"/>
      <c r="K73" s="20" t="str">
        <f t="shared" si="11"/>
        <v/>
      </c>
      <c r="L73" s="13" t="str">
        <f>IF(OR($B73="",$C73=""),"",$C73*INDEX(Simulador!$F$7:$F$232,MATCH($B73,Simulador!$A$7:$A$232,0)))</f>
        <v/>
      </c>
      <c r="M73" s="13" t="str">
        <f t="shared" si="13"/>
        <v/>
      </c>
      <c r="N73" s="35" t="str">
        <f t="shared" si="14"/>
        <v/>
      </c>
      <c r="O73" s="12" t="str">
        <f t="shared" si="15"/>
        <v/>
      </c>
      <c r="P73" s="22" t="str">
        <f t="shared" si="16"/>
        <v/>
      </c>
      <c r="Q73" s="19"/>
      <c r="R73" s="19"/>
    </row>
    <row r="74" spans="1:18" ht="15" customHeight="1" x14ac:dyDescent="0.25">
      <c r="A74" s="32"/>
      <c r="B74" s="19"/>
      <c r="C74" s="19"/>
      <c r="D74" s="19"/>
      <c r="E74" s="20" t="str">
        <f>IF($B74="","",INDEX(Simulador!$D$7:$D$232,MATCH($B74,Simulador!$A$7:$A$232,0)))</f>
        <v/>
      </c>
      <c r="F74" s="20"/>
      <c r="G74" s="13" t="str">
        <f t="shared" si="12"/>
        <v/>
      </c>
      <c r="H74" s="8" t="str">
        <f>IF($B74="","",INDEX(Simulador!$B$7:$B$232,MATCH($B74,Simulador!$A$7:$A$232,0)))</f>
        <v/>
      </c>
      <c r="I74" s="13" t="str">
        <f>IF(OR(H74="",$D74=""),"",INDEX(Ref_Frete!$B$2:$G$54,MATCH($D74,Ref_Frete!$A$2:$A$54,0),IF(H74="Pequenos",2,IF(H74="Medios",4,6))))</f>
        <v/>
      </c>
      <c r="J74" s="20"/>
      <c r="K74" s="20" t="str">
        <f t="shared" ref="K74:K107" si="17">IF(G74="","",ROUND($D$3*(G74+IF(I74="",0,I74)),2))</f>
        <v/>
      </c>
      <c r="L74" s="13" t="str">
        <f>IF(OR($B74="",$C74=""),"",$C74*INDEX(Simulador!$F$7:$F$232,MATCH($B74,Simulador!$A$7:$A$232,0)))</f>
        <v/>
      </c>
      <c r="M74" s="13" t="str">
        <f t="shared" si="13"/>
        <v/>
      </c>
      <c r="N74" s="35" t="str">
        <f t="shared" si="14"/>
        <v/>
      </c>
      <c r="O74" s="12" t="str">
        <f t="shared" si="15"/>
        <v/>
      </c>
      <c r="P74" s="22" t="str">
        <f t="shared" si="16"/>
        <v/>
      </c>
      <c r="Q74" s="19"/>
      <c r="R74" s="19"/>
    </row>
    <row r="75" spans="1:18" ht="15" customHeight="1" x14ac:dyDescent="0.25">
      <c r="A75" s="32"/>
      <c r="B75" s="19"/>
      <c r="C75" s="19"/>
      <c r="D75" s="19"/>
      <c r="E75" s="20" t="str">
        <f>IF($B75="","",INDEX(Simulador!$D$7:$D$232,MATCH($B75,Simulador!$A$7:$A$232,0)))</f>
        <v/>
      </c>
      <c r="F75" s="20"/>
      <c r="G75" s="13" t="str">
        <f t="shared" si="12"/>
        <v/>
      </c>
      <c r="H75" s="8" t="str">
        <f>IF($B75="","",INDEX(Simulador!$B$7:$B$232,MATCH($B75,Simulador!$A$7:$A$232,0)))</f>
        <v/>
      </c>
      <c r="I75" s="13" t="str">
        <f>IF(OR(H75="",$D75=""),"",INDEX(Ref_Frete!$B$2:$G$54,MATCH($D75,Ref_Frete!$A$2:$A$54,0),IF(H75="Pequenos",2,IF(H75="Medios",4,6))))</f>
        <v/>
      </c>
      <c r="J75" s="20"/>
      <c r="K75" s="20" t="str">
        <f t="shared" si="17"/>
        <v/>
      </c>
      <c r="L75" s="13" t="str">
        <f>IF(OR($B75="",$C75=""),"",$C75*INDEX(Simulador!$F$7:$F$232,MATCH($B75,Simulador!$A$7:$A$232,0)))</f>
        <v/>
      </c>
      <c r="M75" s="13" t="str">
        <f t="shared" si="13"/>
        <v/>
      </c>
      <c r="N75" s="35" t="str">
        <f t="shared" si="14"/>
        <v/>
      </c>
      <c r="O75" s="12" t="str">
        <f t="shared" si="15"/>
        <v/>
      </c>
      <c r="P75" s="22" t="str">
        <f t="shared" si="16"/>
        <v/>
      </c>
      <c r="Q75" s="19"/>
      <c r="R75" s="19"/>
    </row>
    <row r="76" spans="1:18" ht="15" customHeight="1" x14ac:dyDescent="0.25">
      <c r="A76" s="32"/>
      <c r="B76" s="19"/>
      <c r="C76" s="19"/>
      <c r="D76" s="19"/>
      <c r="E76" s="20" t="str">
        <f>IF($B76="","",INDEX(Simulador!$D$7:$D$232,MATCH($B76,Simulador!$A$7:$A$232,0)))</f>
        <v/>
      </c>
      <c r="F76" s="20"/>
      <c r="G76" s="13" t="str">
        <f t="shared" si="12"/>
        <v/>
      </c>
      <c r="H76" s="8" t="str">
        <f>IF($B76="","",INDEX(Simulador!$B$7:$B$232,MATCH($B76,Simulador!$A$7:$A$232,0)))</f>
        <v/>
      </c>
      <c r="I76" s="13" t="str">
        <f>IF(OR(H76="",$D76=""),"",INDEX(Ref_Frete!$B$2:$G$54,MATCH($D76,Ref_Frete!$A$2:$A$54,0),IF(H76="Pequenos",2,IF(H76="Medios",4,6))))</f>
        <v/>
      </c>
      <c r="J76" s="20"/>
      <c r="K76" s="20" t="str">
        <f t="shared" si="17"/>
        <v/>
      </c>
      <c r="L76" s="13" t="str">
        <f>IF(OR($B76="",$C76=""),"",$C76*INDEX(Simulador!$F$7:$F$232,MATCH($B76,Simulador!$A$7:$A$232,0)))</f>
        <v/>
      </c>
      <c r="M76" s="13" t="str">
        <f t="shared" si="13"/>
        <v/>
      </c>
      <c r="N76" s="35" t="str">
        <f t="shared" si="14"/>
        <v/>
      </c>
      <c r="O76" s="12" t="str">
        <f t="shared" si="15"/>
        <v/>
      </c>
      <c r="P76" s="22" t="str">
        <f t="shared" si="16"/>
        <v/>
      </c>
      <c r="Q76" s="19"/>
      <c r="R76" s="19"/>
    </row>
    <row r="77" spans="1:18" ht="15" customHeight="1" x14ac:dyDescent="0.25">
      <c r="A77" s="32"/>
      <c r="B77" s="19"/>
      <c r="C77" s="19"/>
      <c r="D77" s="19"/>
      <c r="E77" s="20" t="str">
        <f>IF($B77="","",INDEX(Simulador!$D$7:$D$232,MATCH($B77,Simulador!$A$7:$A$232,0)))</f>
        <v/>
      </c>
      <c r="F77" s="20"/>
      <c r="G77" s="13" t="str">
        <f t="shared" si="12"/>
        <v/>
      </c>
      <c r="H77" s="8" t="str">
        <f>IF($B77="","",INDEX(Simulador!$B$7:$B$232,MATCH($B77,Simulador!$A$7:$A$232,0)))</f>
        <v/>
      </c>
      <c r="I77" s="13" t="str">
        <f>IF(OR(H77="",$D77=""),"",INDEX(Ref_Frete!$B$2:$G$54,MATCH($D77,Ref_Frete!$A$2:$A$54,0),IF(H77="Pequenos",2,IF(H77="Medios",4,6))))</f>
        <v/>
      </c>
      <c r="J77" s="20"/>
      <c r="K77" s="20" t="str">
        <f t="shared" si="17"/>
        <v/>
      </c>
      <c r="L77" s="13" t="str">
        <f>IF(OR($B77="",$C77=""),"",$C77*INDEX(Simulador!$F$7:$F$232,MATCH($B77,Simulador!$A$7:$A$232,0)))</f>
        <v/>
      </c>
      <c r="M77" s="13" t="str">
        <f t="shared" si="13"/>
        <v/>
      </c>
      <c r="N77" s="35" t="str">
        <f t="shared" si="14"/>
        <v/>
      </c>
      <c r="O77" s="12" t="str">
        <f t="shared" si="15"/>
        <v/>
      </c>
      <c r="P77" s="22" t="str">
        <f t="shared" si="16"/>
        <v/>
      </c>
      <c r="Q77" s="19"/>
      <c r="R77" s="19"/>
    </row>
    <row r="78" spans="1:18" ht="15" customHeight="1" x14ac:dyDescent="0.25">
      <c r="A78" s="32"/>
      <c r="B78" s="19"/>
      <c r="C78" s="19"/>
      <c r="D78" s="19"/>
      <c r="E78" s="20" t="str">
        <f>IF($B78="","",INDEX(Simulador!$D$7:$D$232,MATCH($B78,Simulador!$A$7:$A$232,0)))</f>
        <v/>
      </c>
      <c r="F78" s="20"/>
      <c r="G78" s="13" t="str">
        <f t="shared" si="12"/>
        <v/>
      </c>
      <c r="H78" s="8" t="str">
        <f>IF($B78="","",INDEX(Simulador!$B$7:$B$232,MATCH($B78,Simulador!$A$7:$A$232,0)))</f>
        <v/>
      </c>
      <c r="I78" s="13" t="str">
        <f>IF(OR(H78="",$D78=""),"",INDEX(Ref_Frete!$B$2:$G$54,MATCH($D78,Ref_Frete!$A$2:$A$54,0),IF(H78="Pequenos",2,IF(H78="Medios",4,6))))</f>
        <v/>
      </c>
      <c r="J78" s="20"/>
      <c r="K78" s="20" t="str">
        <f t="shared" si="17"/>
        <v/>
      </c>
      <c r="L78" s="13" t="str">
        <f>IF(OR($B78="",$C78=""),"",$C78*INDEX(Simulador!$F$7:$F$232,MATCH($B78,Simulador!$A$7:$A$232,0)))</f>
        <v/>
      </c>
      <c r="M78" s="13" t="str">
        <f t="shared" si="13"/>
        <v/>
      </c>
      <c r="N78" s="35" t="str">
        <f t="shared" si="14"/>
        <v/>
      </c>
      <c r="O78" s="12" t="str">
        <f t="shared" si="15"/>
        <v/>
      </c>
      <c r="P78" s="22" t="str">
        <f t="shared" si="16"/>
        <v/>
      </c>
      <c r="Q78" s="19"/>
      <c r="R78" s="19"/>
    </row>
    <row r="79" spans="1:18" ht="15" customHeight="1" x14ac:dyDescent="0.25">
      <c r="A79" s="32"/>
      <c r="B79" s="19"/>
      <c r="C79" s="19"/>
      <c r="D79" s="19"/>
      <c r="E79" s="20" t="str">
        <f>IF($B79="","",INDEX(Simulador!$D$7:$D$232,MATCH($B79,Simulador!$A$7:$A$232,0)))</f>
        <v/>
      </c>
      <c r="F79" s="20"/>
      <c r="G79" s="13" t="str">
        <f t="shared" si="12"/>
        <v/>
      </c>
      <c r="H79" s="8" t="str">
        <f>IF($B79="","",INDEX(Simulador!$B$7:$B$232,MATCH($B79,Simulador!$A$7:$A$232,0)))</f>
        <v/>
      </c>
      <c r="I79" s="13" t="str">
        <f>IF(OR(H79="",$D79=""),"",INDEX(Ref_Frete!$B$2:$G$54,MATCH($D79,Ref_Frete!$A$2:$A$54,0),IF(H79="Pequenos",2,IF(H79="Medios",4,6))))</f>
        <v/>
      </c>
      <c r="J79" s="20"/>
      <c r="K79" s="20" t="str">
        <f t="shared" si="17"/>
        <v/>
      </c>
      <c r="L79" s="13" t="str">
        <f>IF(OR($B79="",$C79=""),"",$C79*INDEX(Simulador!$F$7:$F$232,MATCH($B79,Simulador!$A$7:$A$232,0)))</f>
        <v/>
      </c>
      <c r="M79" s="13" t="str">
        <f t="shared" si="13"/>
        <v/>
      </c>
      <c r="N79" s="35" t="str">
        <f t="shared" si="14"/>
        <v/>
      </c>
      <c r="O79" s="12" t="str">
        <f t="shared" si="15"/>
        <v/>
      </c>
      <c r="P79" s="22" t="str">
        <f t="shared" si="16"/>
        <v/>
      </c>
      <c r="Q79" s="19"/>
      <c r="R79" s="19"/>
    </row>
    <row r="80" spans="1:18" ht="15" customHeight="1" x14ac:dyDescent="0.25">
      <c r="A80" s="32"/>
      <c r="B80" s="19"/>
      <c r="C80" s="19"/>
      <c r="D80" s="19"/>
      <c r="E80" s="20" t="str">
        <f>IF($B80="","",INDEX(Simulador!$D$7:$D$232,MATCH($B80,Simulador!$A$7:$A$232,0)))</f>
        <v/>
      </c>
      <c r="F80" s="20"/>
      <c r="G80" s="13" t="str">
        <f t="shared" si="12"/>
        <v/>
      </c>
      <c r="H80" s="8" t="str">
        <f>IF($B80="","",INDEX(Simulador!$B$7:$B$232,MATCH($B80,Simulador!$A$7:$A$232,0)))</f>
        <v/>
      </c>
      <c r="I80" s="13" t="str">
        <f>IF(OR(H80="",$D80=""),"",INDEX(Ref_Frete!$B$2:$G$54,MATCH($D80,Ref_Frete!$A$2:$A$54,0),IF(H80="Pequenos",2,IF(H80="Medios",4,6))))</f>
        <v/>
      </c>
      <c r="J80" s="20"/>
      <c r="K80" s="20" t="str">
        <f t="shared" si="17"/>
        <v/>
      </c>
      <c r="L80" s="13" t="str">
        <f>IF(OR($B80="",$C80=""),"",$C80*INDEX(Simulador!$F$7:$F$232,MATCH($B80,Simulador!$A$7:$A$232,0)))</f>
        <v/>
      </c>
      <c r="M80" s="13" t="str">
        <f t="shared" si="13"/>
        <v/>
      </c>
      <c r="N80" s="35" t="str">
        <f t="shared" si="14"/>
        <v/>
      </c>
      <c r="O80" s="12" t="str">
        <f t="shared" si="15"/>
        <v/>
      </c>
      <c r="P80" s="22" t="str">
        <f t="shared" si="16"/>
        <v/>
      </c>
      <c r="Q80" s="19"/>
      <c r="R80" s="19"/>
    </row>
    <row r="81" spans="1:18" ht="15" customHeight="1" x14ac:dyDescent="0.25">
      <c r="A81" s="32"/>
      <c r="B81" s="19"/>
      <c r="C81" s="19"/>
      <c r="D81" s="19"/>
      <c r="E81" s="20" t="str">
        <f>IF($B81="","",INDEX(Simulador!$D$7:$D$232,MATCH($B81,Simulador!$A$7:$A$232,0)))</f>
        <v/>
      </c>
      <c r="F81" s="20"/>
      <c r="G81" s="13" t="str">
        <f t="shared" si="12"/>
        <v/>
      </c>
      <c r="H81" s="8" t="str">
        <f>IF($B81="","",INDEX(Simulador!$B$7:$B$232,MATCH($B81,Simulador!$A$7:$A$232,0)))</f>
        <v/>
      </c>
      <c r="I81" s="13" t="str">
        <f>IF(OR(H81="",$D81=""),"",INDEX(Ref_Frete!$B$2:$G$54,MATCH($D81,Ref_Frete!$A$2:$A$54,0),IF(H81="Pequenos",2,IF(H81="Medios",4,6))))</f>
        <v/>
      </c>
      <c r="J81" s="20"/>
      <c r="K81" s="20" t="str">
        <f t="shared" si="17"/>
        <v/>
      </c>
      <c r="L81" s="13" t="str">
        <f>IF(OR($B81="",$C81=""),"",$C81*INDEX(Simulador!$F$7:$F$232,MATCH($B81,Simulador!$A$7:$A$232,0)))</f>
        <v/>
      </c>
      <c r="M81" s="13" t="str">
        <f t="shared" si="13"/>
        <v/>
      </c>
      <c r="N81" s="35" t="str">
        <f t="shared" si="14"/>
        <v/>
      </c>
      <c r="O81" s="12" t="str">
        <f t="shared" si="15"/>
        <v/>
      </c>
      <c r="P81" s="22" t="str">
        <f t="shared" si="16"/>
        <v/>
      </c>
      <c r="Q81" s="19"/>
      <c r="R81" s="19"/>
    </row>
    <row r="82" spans="1:18" ht="15" customHeight="1" x14ac:dyDescent="0.25">
      <c r="A82" s="32"/>
      <c r="B82" s="19"/>
      <c r="C82" s="19"/>
      <c r="D82" s="19"/>
      <c r="E82" s="20" t="str">
        <f>IF($B82="","",INDEX(Simulador!$D$7:$D$232,MATCH($B82,Simulador!$A$7:$A$232,0)))</f>
        <v/>
      </c>
      <c r="F82" s="20"/>
      <c r="G82" s="13" t="str">
        <f t="shared" si="12"/>
        <v/>
      </c>
      <c r="H82" s="8" t="str">
        <f>IF($B82="","",INDEX(Simulador!$B$7:$B$232,MATCH($B82,Simulador!$A$7:$A$232,0)))</f>
        <v/>
      </c>
      <c r="I82" s="13" t="str">
        <f>IF(OR(H82="",$D82=""),"",INDEX(Ref_Frete!$B$2:$G$54,MATCH($D82,Ref_Frete!$A$2:$A$54,0),IF(H82="Pequenos",2,IF(H82="Medios",4,6))))</f>
        <v/>
      </c>
      <c r="J82" s="20"/>
      <c r="K82" s="20" t="str">
        <f t="shared" si="17"/>
        <v/>
      </c>
      <c r="L82" s="13" t="str">
        <f>IF(OR($B82="",$C82=""),"",$C82*INDEX(Simulador!$F$7:$F$232,MATCH($B82,Simulador!$A$7:$A$232,0)))</f>
        <v/>
      </c>
      <c r="M82" s="13" t="str">
        <f t="shared" si="13"/>
        <v/>
      </c>
      <c r="N82" s="35" t="str">
        <f t="shared" si="14"/>
        <v/>
      </c>
      <c r="O82" s="12" t="str">
        <f t="shared" si="15"/>
        <v/>
      </c>
      <c r="P82" s="22" t="str">
        <f t="shared" si="16"/>
        <v/>
      </c>
      <c r="Q82" s="19"/>
      <c r="R82" s="19"/>
    </row>
    <row r="83" spans="1:18" ht="15" customHeight="1" x14ac:dyDescent="0.25">
      <c r="A83" s="32"/>
      <c r="B83" s="19"/>
      <c r="C83" s="19"/>
      <c r="D83" s="19"/>
      <c r="E83" s="20" t="str">
        <f>IF($B83="","",INDEX(Simulador!$D$7:$D$232,MATCH($B83,Simulador!$A$7:$A$232,0)))</f>
        <v/>
      </c>
      <c r="F83" s="20"/>
      <c r="G83" s="13" t="str">
        <f t="shared" si="12"/>
        <v/>
      </c>
      <c r="H83" s="8" t="str">
        <f>IF($B83="","",INDEX(Simulador!$B$7:$B$232,MATCH($B83,Simulador!$A$7:$A$232,0)))</f>
        <v/>
      </c>
      <c r="I83" s="13" t="str">
        <f>IF(OR(H83="",$D83=""),"",INDEX(Ref_Frete!$B$2:$G$54,MATCH($D83,Ref_Frete!$A$2:$A$54,0),IF(H83="Pequenos",2,IF(H83="Medios",4,6))))</f>
        <v/>
      </c>
      <c r="J83" s="20"/>
      <c r="K83" s="20" t="str">
        <f t="shared" si="17"/>
        <v/>
      </c>
      <c r="L83" s="13" t="str">
        <f>IF(OR($B83="",$C83=""),"",$C83*INDEX(Simulador!$F$7:$F$232,MATCH($B83,Simulador!$A$7:$A$232,0)))</f>
        <v/>
      </c>
      <c r="M83" s="13" t="str">
        <f t="shared" si="13"/>
        <v/>
      </c>
      <c r="N83" s="35" t="str">
        <f t="shared" si="14"/>
        <v/>
      </c>
      <c r="O83" s="12" t="str">
        <f t="shared" si="15"/>
        <v/>
      </c>
      <c r="P83" s="22" t="str">
        <f t="shared" si="16"/>
        <v/>
      </c>
      <c r="Q83" s="19"/>
      <c r="R83" s="19"/>
    </row>
    <row r="84" spans="1:18" ht="15" customHeight="1" x14ac:dyDescent="0.25">
      <c r="A84" s="32"/>
      <c r="B84" s="19"/>
      <c r="C84" s="19"/>
      <c r="D84" s="19"/>
      <c r="E84" s="20" t="str">
        <f>IF($B84="","",INDEX(Simulador!$D$7:$D$232,MATCH($B84,Simulador!$A$7:$A$232,0)))</f>
        <v/>
      </c>
      <c r="F84" s="20"/>
      <c r="G84" s="13" t="str">
        <f t="shared" si="12"/>
        <v/>
      </c>
      <c r="H84" s="8" t="str">
        <f>IF($B84="","",INDEX(Simulador!$B$7:$B$232,MATCH($B84,Simulador!$A$7:$A$232,0)))</f>
        <v/>
      </c>
      <c r="I84" s="13" t="str">
        <f>IF(OR(H84="",$D84=""),"",INDEX(Ref_Frete!$B$2:$G$54,MATCH($D84,Ref_Frete!$A$2:$A$54,0),IF(H84="Pequenos",2,IF(H84="Medios",4,6))))</f>
        <v/>
      </c>
      <c r="J84" s="20"/>
      <c r="K84" s="20" t="str">
        <f t="shared" si="17"/>
        <v/>
      </c>
      <c r="L84" s="13" t="str">
        <f>IF(OR($B84="",$C84=""),"",$C84*INDEX(Simulador!$F$7:$F$232,MATCH($B84,Simulador!$A$7:$A$232,0)))</f>
        <v/>
      </c>
      <c r="M84" s="13" t="str">
        <f t="shared" si="13"/>
        <v/>
      </c>
      <c r="N84" s="35" t="str">
        <f t="shared" si="14"/>
        <v/>
      </c>
      <c r="O84" s="12" t="str">
        <f t="shared" si="15"/>
        <v/>
      </c>
      <c r="P84" s="22" t="str">
        <f t="shared" si="16"/>
        <v/>
      </c>
      <c r="Q84" s="19"/>
      <c r="R84" s="19"/>
    </row>
    <row r="85" spans="1:18" ht="15" customHeight="1" x14ac:dyDescent="0.25">
      <c r="A85" s="32"/>
      <c r="B85" s="19"/>
      <c r="C85" s="19"/>
      <c r="D85" s="19"/>
      <c r="E85" s="20" t="str">
        <f>IF($B85="","",INDEX(Simulador!$D$7:$D$232,MATCH($B85,Simulador!$A$7:$A$232,0)))</f>
        <v/>
      </c>
      <c r="F85" s="20"/>
      <c r="G85" s="13" t="str">
        <f t="shared" si="12"/>
        <v/>
      </c>
      <c r="H85" s="8" t="str">
        <f>IF($B85="","",INDEX(Simulador!$B$7:$B$232,MATCH($B85,Simulador!$A$7:$A$232,0)))</f>
        <v/>
      </c>
      <c r="I85" s="13" t="str">
        <f>IF(OR(H85="",$D85=""),"",INDEX(Ref_Frete!$B$2:$G$54,MATCH($D85,Ref_Frete!$A$2:$A$54,0),IF(H85="Pequenos",2,IF(H85="Medios",4,6))))</f>
        <v/>
      </c>
      <c r="J85" s="20"/>
      <c r="K85" s="20" t="str">
        <f t="shared" si="17"/>
        <v/>
      </c>
      <c r="L85" s="13" t="str">
        <f>IF(OR($B85="",$C85=""),"",$C85*INDEX(Simulador!$F$7:$F$232,MATCH($B85,Simulador!$A$7:$A$232,0)))</f>
        <v/>
      </c>
      <c r="M85" s="13" t="str">
        <f t="shared" si="13"/>
        <v/>
      </c>
      <c r="N85" s="35" t="str">
        <f t="shared" si="14"/>
        <v/>
      </c>
      <c r="O85" s="12" t="str">
        <f t="shared" si="15"/>
        <v/>
      </c>
      <c r="P85" s="22" t="str">
        <f t="shared" si="16"/>
        <v/>
      </c>
      <c r="Q85" s="19"/>
      <c r="R85" s="19"/>
    </row>
    <row r="86" spans="1:18" ht="15" customHeight="1" x14ac:dyDescent="0.25">
      <c r="A86" s="32"/>
      <c r="B86" s="19"/>
      <c r="C86" s="19"/>
      <c r="D86" s="19"/>
      <c r="E86" s="20" t="str">
        <f>IF($B86="","",INDEX(Simulador!$D$7:$D$232,MATCH($B86,Simulador!$A$7:$A$232,0)))</f>
        <v/>
      </c>
      <c r="F86" s="20"/>
      <c r="G86" s="13" t="str">
        <f t="shared" si="12"/>
        <v/>
      </c>
      <c r="H86" s="8" t="str">
        <f>IF($B86="","",INDEX(Simulador!$B$7:$B$232,MATCH($B86,Simulador!$A$7:$A$232,0)))</f>
        <v/>
      </c>
      <c r="I86" s="13" t="str">
        <f>IF(OR(H86="",$D86=""),"",INDEX(Ref_Frete!$B$2:$G$54,MATCH($D86,Ref_Frete!$A$2:$A$54,0),IF(H86="Pequenos",2,IF(H86="Medios",4,6))))</f>
        <v/>
      </c>
      <c r="J86" s="20"/>
      <c r="K86" s="20" t="str">
        <f t="shared" si="17"/>
        <v/>
      </c>
      <c r="L86" s="13" t="str">
        <f>IF(OR($B86="",$C86=""),"",$C86*INDEX(Simulador!$F$7:$F$232,MATCH($B86,Simulador!$A$7:$A$232,0)))</f>
        <v/>
      </c>
      <c r="M86" s="13" t="str">
        <f t="shared" si="13"/>
        <v/>
      </c>
      <c r="N86" s="35" t="str">
        <f t="shared" si="14"/>
        <v/>
      </c>
      <c r="O86" s="12" t="str">
        <f t="shared" si="15"/>
        <v/>
      </c>
      <c r="P86" s="22" t="str">
        <f t="shared" si="16"/>
        <v/>
      </c>
      <c r="Q86" s="19"/>
      <c r="R86" s="19"/>
    </row>
    <row r="87" spans="1:18" ht="15" customHeight="1" x14ac:dyDescent="0.25">
      <c r="A87" s="32"/>
      <c r="B87" s="19"/>
      <c r="C87" s="19"/>
      <c r="D87" s="19"/>
      <c r="E87" s="20" t="str">
        <f>IF($B87="","",INDEX(Simulador!$D$7:$D$232,MATCH($B87,Simulador!$A$7:$A$232,0)))</f>
        <v/>
      </c>
      <c r="F87" s="20"/>
      <c r="G87" s="13" t="str">
        <f t="shared" si="12"/>
        <v/>
      </c>
      <c r="H87" s="8" t="str">
        <f>IF($B87="","",INDEX(Simulador!$B$7:$B$232,MATCH($B87,Simulador!$A$7:$A$232,0)))</f>
        <v/>
      </c>
      <c r="I87" s="13" t="str">
        <f>IF(OR(H87="",$D87=""),"",INDEX(Ref_Frete!$B$2:$G$54,MATCH($D87,Ref_Frete!$A$2:$A$54,0),IF(H87="Pequenos",2,IF(H87="Medios",4,6))))</f>
        <v/>
      </c>
      <c r="J87" s="20"/>
      <c r="K87" s="20" t="str">
        <f t="shared" si="17"/>
        <v/>
      </c>
      <c r="L87" s="13" t="str">
        <f>IF(OR($B87="",$C87=""),"",$C87*INDEX(Simulador!$F$7:$F$232,MATCH($B87,Simulador!$A$7:$A$232,0)))</f>
        <v/>
      </c>
      <c r="M87" s="13" t="str">
        <f t="shared" si="13"/>
        <v/>
      </c>
      <c r="N87" s="35" t="str">
        <f t="shared" si="14"/>
        <v/>
      </c>
      <c r="O87" s="12" t="str">
        <f t="shared" si="15"/>
        <v/>
      </c>
      <c r="P87" s="22" t="str">
        <f t="shared" si="16"/>
        <v/>
      </c>
      <c r="Q87" s="19"/>
      <c r="R87" s="19"/>
    </row>
    <row r="88" spans="1:18" ht="15" customHeight="1" x14ac:dyDescent="0.25">
      <c r="A88" s="32"/>
      <c r="B88" s="19"/>
      <c r="C88" s="19"/>
      <c r="D88" s="19"/>
      <c r="E88" s="20" t="str">
        <f>IF($B88="","",INDEX(Simulador!$D$7:$D$232,MATCH($B88,Simulador!$A$7:$A$232,0)))</f>
        <v/>
      </c>
      <c r="F88" s="20"/>
      <c r="G88" s="13" t="str">
        <f t="shared" si="12"/>
        <v/>
      </c>
      <c r="H88" s="8" t="str">
        <f>IF($B88="","",INDEX(Simulador!$B$7:$B$232,MATCH($B88,Simulador!$A$7:$A$232,0)))</f>
        <v/>
      </c>
      <c r="I88" s="13" t="str">
        <f>IF(OR(H88="",$D88=""),"",INDEX(Ref_Frete!$B$2:$G$54,MATCH($D88,Ref_Frete!$A$2:$A$54,0),IF(H88="Pequenos",2,IF(H88="Medios",4,6))))</f>
        <v/>
      </c>
      <c r="J88" s="20"/>
      <c r="K88" s="20" t="str">
        <f t="shared" si="17"/>
        <v/>
      </c>
      <c r="L88" s="13" t="str">
        <f>IF(OR($B88="",$C88=""),"",$C88*INDEX(Simulador!$F$7:$F$232,MATCH($B88,Simulador!$A$7:$A$232,0)))</f>
        <v/>
      </c>
      <c r="M88" s="13" t="str">
        <f t="shared" si="13"/>
        <v/>
      </c>
      <c r="N88" s="35" t="str">
        <f t="shared" si="14"/>
        <v/>
      </c>
      <c r="O88" s="12" t="str">
        <f t="shared" si="15"/>
        <v/>
      </c>
      <c r="P88" s="22" t="str">
        <f t="shared" si="16"/>
        <v/>
      </c>
      <c r="Q88" s="19"/>
      <c r="R88" s="19"/>
    </row>
    <row r="89" spans="1:18" ht="15" customHeight="1" x14ac:dyDescent="0.25">
      <c r="A89" s="32"/>
      <c r="B89" s="19"/>
      <c r="C89" s="19"/>
      <c r="D89" s="19"/>
      <c r="E89" s="20" t="str">
        <f>IF($B89="","",INDEX(Simulador!$D$7:$D$232,MATCH($B89,Simulador!$A$7:$A$232,0)))</f>
        <v/>
      </c>
      <c r="F89" s="20"/>
      <c r="G89" s="13" t="str">
        <f t="shared" si="12"/>
        <v/>
      </c>
      <c r="H89" s="8" t="str">
        <f>IF($B89="","",INDEX(Simulador!$B$7:$B$232,MATCH($B89,Simulador!$A$7:$A$232,0)))</f>
        <v/>
      </c>
      <c r="I89" s="13" t="str">
        <f>IF(OR(H89="",$D89=""),"",INDEX(Ref_Frete!$B$2:$G$54,MATCH($D89,Ref_Frete!$A$2:$A$54,0),IF(H89="Pequenos",2,IF(H89="Medios",4,6))))</f>
        <v/>
      </c>
      <c r="J89" s="20"/>
      <c r="K89" s="20" t="str">
        <f t="shared" si="17"/>
        <v/>
      </c>
      <c r="L89" s="13" t="str">
        <f>IF(OR($B89="",$C89=""),"",$C89*INDEX(Simulador!$F$7:$F$232,MATCH($B89,Simulador!$A$7:$A$232,0)))</f>
        <v/>
      </c>
      <c r="M89" s="13" t="str">
        <f t="shared" si="13"/>
        <v/>
      </c>
      <c r="N89" s="35" t="str">
        <f t="shared" si="14"/>
        <v/>
      </c>
      <c r="O89" s="12" t="str">
        <f t="shared" si="15"/>
        <v/>
      </c>
      <c r="P89" s="22" t="str">
        <f t="shared" si="16"/>
        <v/>
      </c>
      <c r="Q89" s="19"/>
      <c r="R89" s="19"/>
    </row>
    <row r="90" spans="1:18" ht="15" customHeight="1" x14ac:dyDescent="0.25">
      <c r="A90" s="32"/>
      <c r="B90" s="19"/>
      <c r="C90" s="19"/>
      <c r="D90" s="19"/>
      <c r="E90" s="20" t="str">
        <f>IF($B90="","",INDEX(Simulador!$D$7:$D$232,MATCH($B90,Simulador!$A$7:$A$232,0)))</f>
        <v/>
      </c>
      <c r="F90" s="20"/>
      <c r="G90" s="13" t="str">
        <f t="shared" si="12"/>
        <v/>
      </c>
      <c r="H90" s="8" t="str">
        <f>IF($B90="","",INDEX(Simulador!$B$7:$B$232,MATCH($B90,Simulador!$A$7:$A$232,0)))</f>
        <v/>
      </c>
      <c r="I90" s="13" t="str">
        <f>IF(OR(H90="",$D90=""),"",INDEX(Ref_Frete!$B$2:$G$54,MATCH($D90,Ref_Frete!$A$2:$A$54,0),IF(H90="Pequenos",2,IF(H90="Medios",4,6))))</f>
        <v/>
      </c>
      <c r="J90" s="20"/>
      <c r="K90" s="20" t="str">
        <f t="shared" si="17"/>
        <v/>
      </c>
      <c r="L90" s="13" t="str">
        <f>IF(OR($B90="",$C90=""),"",$C90*INDEX(Simulador!$F$7:$F$232,MATCH($B90,Simulador!$A$7:$A$232,0)))</f>
        <v/>
      </c>
      <c r="M90" s="13" t="str">
        <f t="shared" si="13"/>
        <v/>
      </c>
      <c r="N90" s="35" t="str">
        <f t="shared" si="14"/>
        <v/>
      </c>
      <c r="O90" s="12" t="str">
        <f t="shared" si="15"/>
        <v/>
      </c>
      <c r="P90" s="22" t="str">
        <f t="shared" si="16"/>
        <v/>
      </c>
      <c r="Q90" s="19"/>
      <c r="R90" s="19"/>
    </row>
    <row r="91" spans="1:18" ht="15" customHeight="1" x14ac:dyDescent="0.25">
      <c r="A91" s="32"/>
      <c r="B91" s="19"/>
      <c r="C91" s="19"/>
      <c r="D91" s="19"/>
      <c r="E91" s="20" t="str">
        <f>IF($B91="","",INDEX(Simulador!$D$7:$D$232,MATCH($B91,Simulador!$A$7:$A$232,0)))</f>
        <v/>
      </c>
      <c r="F91" s="20"/>
      <c r="G91" s="13" t="str">
        <f t="shared" si="12"/>
        <v/>
      </c>
      <c r="H91" s="8" t="str">
        <f>IF($B91="","",INDEX(Simulador!$B$7:$B$232,MATCH($B91,Simulador!$A$7:$A$232,0)))</f>
        <v/>
      </c>
      <c r="I91" s="13" t="str">
        <f>IF(OR(H91="",$D91=""),"",INDEX(Ref_Frete!$B$2:$G$54,MATCH($D91,Ref_Frete!$A$2:$A$54,0),IF(H91="Pequenos",2,IF(H91="Medios",4,6))))</f>
        <v/>
      </c>
      <c r="J91" s="20"/>
      <c r="K91" s="20" t="str">
        <f t="shared" si="17"/>
        <v/>
      </c>
      <c r="L91" s="13" t="str">
        <f>IF(OR($B91="",$C91=""),"",$C91*INDEX(Simulador!$F$7:$F$232,MATCH($B91,Simulador!$A$7:$A$232,0)))</f>
        <v/>
      </c>
      <c r="M91" s="13" t="str">
        <f t="shared" si="13"/>
        <v/>
      </c>
      <c r="N91" s="35" t="str">
        <f t="shared" si="14"/>
        <v/>
      </c>
      <c r="O91" s="12" t="str">
        <f t="shared" si="15"/>
        <v/>
      </c>
      <c r="P91" s="22" t="str">
        <f t="shared" si="16"/>
        <v/>
      </c>
      <c r="Q91" s="19"/>
      <c r="R91" s="19"/>
    </row>
    <row r="92" spans="1:18" ht="15" customHeight="1" x14ac:dyDescent="0.25">
      <c r="A92" s="32"/>
      <c r="B92" s="19"/>
      <c r="C92" s="19"/>
      <c r="D92" s="19"/>
      <c r="E92" s="20" t="str">
        <f>IF($B92="","",INDEX(Simulador!$D$7:$D$232,MATCH($B92,Simulador!$A$7:$A$232,0)))</f>
        <v/>
      </c>
      <c r="F92" s="20"/>
      <c r="G92" s="13" t="str">
        <f t="shared" si="12"/>
        <v/>
      </c>
      <c r="H92" s="8" t="str">
        <f>IF($B92="","",INDEX(Simulador!$B$7:$B$232,MATCH($B92,Simulador!$A$7:$A$232,0)))</f>
        <v/>
      </c>
      <c r="I92" s="13" t="str">
        <f>IF(OR(H92="",$D92=""),"",INDEX(Ref_Frete!$B$2:$G$54,MATCH($D92,Ref_Frete!$A$2:$A$54,0),IF(H92="Pequenos",2,IF(H92="Medios",4,6))))</f>
        <v/>
      </c>
      <c r="J92" s="20"/>
      <c r="K92" s="20" t="str">
        <f t="shared" si="17"/>
        <v/>
      </c>
      <c r="L92" s="13" t="str">
        <f>IF(OR($B92="",$C92=""),"",$C92*INDEX(Simulador!$F$7:$F$232,MATCH($B92,Simulador!$A$7:$A$232,0)))</f>
        <v/>
      </c>
      <c r="M92" s="13" t="str">
        <f t="shared" si="13"/>
        <v/>
      </c>
      <c r="N92" s="35" t="str">
        <f t="shared" si="14"/>
        <v/>
      </c>
      <c r="O92" s="12" t="str">
        <f t="shared" si="15"/>
        <v/>
      </c>
      <c r="P92" s="22" t="str">
        <f t="shared" si="16"/>
        <v/>
      </c>
      <c r="Q92" s="19"/>
      <c r="R92" s="19"/>
    </row>
    <row r="93" spans="1:18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8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8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8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24501.860000000008</v>
      </c>
      <c r="K108" s="39">
        <f>SUM(K6:K107)</f>
        <v>3727.190000000001</v>
      </c>
      <c r="L108" s="39">
        <f>SUM(L6:L107)</f>
        <v>12897.240000000002</v>
      </c>
      <c r="M108" s="39">
        <f>SUM(M6:M107)</f>
        <v>2450.1860000000001</v>
      </c>
      <c r="N108" s="39">
        <f>SUM(N6:N107)</f>
        <v>6176.4540000000015</v>
      </c>
      <c r="O108" s="40">
        <f>IF(G108=0,"",N108/G108)</f>
        <v>0.25208102568539692</v>
      </c>
    </row>
    <row r="117" spans="1:1" ht="15" customHeight="1" x14ac:dyDescent="0.25">
      <c r="A117" s="41"/>
    </row>
  </sheetData>
  <conditionalFormatting sqref="S6:S62">
    <cfRule type="cellIs" dxfId="3" priority="2" operator="equal">
      <formula>"VÁLIDO"</formula>
    </cfRule>
    <cfRule type="cellIs" dxfId="2" priority="1" operator="equal">
      <formula>"DEVOLUÇÃO"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"/>
  <sheetViews>
    <sheetView zoomScaleNormal="100" workbookViewId="0">
      <pane ySplit="4" topLeftCell="A5" activePane="bottomLeft" state="frozen"/>
      <selection pane="bottomLeft" activeCell="G7" sqref="G7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294" customHeight="1" x14ac:dyDescent="0.25">
      <c r="A37" s="16" t="s">
        <v>327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328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329</v>
      </c>
      <c r="B39" s="43">
        <v>1741.56</v>
      </c>
      <c r="C39" s="16">
        <v>3</v>
      </c>
      <c r="D39" s="16" t="s">
        <v>330</v>
      </c>
      <c r="E39" s="44" t="s">
        <v>210</v>
      </c>
      <c r="F39" s="16" t="s">
        <v>331</v>
      </c>
    </row>
    <row r="40" spans="1:6" ht="15" customHeight="1" x14ac:dyDescent="0.25">
      <c r="A40" s="16" t="s">
        <v>332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333</v>
      </c>
    </row>
    <row r="41" spans="1:6" ht="15" customHeight="1" x14ac:dyDescent="0.25">
      <c r="A41" s="16" t="s">
        <v>334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335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336</v>
      </c>
      <c r="B43" s="43">
        <v>265.8</v>
      </c>
      <c r="C43" s="16">
        <v>2</v>
      </c>
      <c r="D43" s="16" t="s">
        <v>337</v>
      </c>
      <c r="E43" s="44" t="s">
        <v>210</v>
      </c>
      <c r="F43" s="16" t="s">
        <v>338</v>
      </c>
    </row>
    <row r="44" spans="1:6" ht="15" customHeight="1" x14ac:dyDescent="0.25">
      <c r="A44" s="16" t="s">
        <v>336</v>
      </c>
      <c r="B44" s="43">
        <v>779.7</v>
      </c>
      <c r="C44" s="16">
        <v>3</v>
      </c>
      <c r="D44" s="16" t="s">
        <v>339</v>
      </c>
      <c r="E44" s="44" t="s">
        <v>207</v>
      </c>
      <c r="F44" s="16" t="s">
        <v>340</v>
      </c>
    </row>
    <row r="45" spans="1:6" ht="15" customHeight="1" x14ac:dyDescent="0.25">
      <c r="A45" s="16" t="s">
        <v>336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7" spans="1:6" ht="15" customHeight="1" x14ac:dyDescent="0.25">
      <c r="A47" s="3" t="s">
        <v>341</v>
      </c>
    </row>
    <row r="48" spans="1:6" ht="15" customHeight="1" x14ac:dyDescent="0.25">
      <c r="A48" s="45" t="s">
        <v>342</v>
      </c>
      <c r="B48" s="45" t="s">
        <v>343</v>
      </c>
      <c r="C48" s="45" t="s">
        <v>344</v>
      </c>
      <c r="D48" s="45" t="s">
        <v>345</v>
      </c>
      <c r="E48" s="45" t="s">
        <v>346</v>
      </c>
    </row>
    <row r="49" spans="1:5" ht="15" customHeight="1" x14ac:dyDescent="0.25">
      <c r="A49" s="16" t="s">
        <v>347</v>
      </c>
      <c r="B49" s="43">
        <v>3312.09</v>
      </c>
      <c r="C49" s="43">
        <v>2346.75</v>
      </c>
      <c r="D49" s="43">
        <v>965.34</v>
      </c>
      <c r="E49" s="46">
        <v>0.29145947121002103</v>
      </c>
    </row>
    <row r="50" spans="1:5" ht="15" customHeight="1" x14ac:dyDescent="0.25">
      <c r="A50" s="16" t="s">
        <v>348</v>
      </c>
      <c r="B50" s="43">
        <v>4856.63</v>
      </c>
      <c r="C50" s="43">
        <v>2830.55</v>
      </c>
      <c r="D50" s="43">
        <v>2026.08</v>
      </c>
      <c r="E50" s="46">
        <v>0.41717816675349001</v>
      </c>
    </row>
    <row r="51" spans="1:5" ht="15" customHeight="1" x14ac:dyDescent="0.25">
      <c r="A51" s="16" t="s">
        <v>349</v>
      </c>
      <c r="B51" s="43">
        <v>13915.83</v>
      </c>
      <c r="C51" s="43">
        <v>4391.5</v>
      </c>
      <c r="D51" s="43">
        <v>9524.33</v>
      </c>
      <c r="E51" s="46">
        <v>0.68442414142742503</v>
      </c>
    </row>
    <row r="52" spans="1:5" ht="15" customHeight="1" x14ac:dyDescent="0.25">
      <c r="A52" s="3" t="s">
        <v>350</v>
      </c>
      <c r="B52" s="47">
        <v>22084.55</v>
      </c>
      <c r="C52" s="47">
        <v>9568.7999999999993</v>
      </c>
      <c r="D52" s="47">
        <v>12515.75</v>
      </c>
      <c r="E52" s="46">
        <v>0.56671972034748297</v>
      </c>
    </row>
    <row r="54" spans="1:5" ht="409.6" customHeight="1" x14ac:dyDescent="0.25">
      <c r="A54" s="48" t="s">
        <v>351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352</v>
      </c>
    </row>
    <row r="2" spans="1:18" ht="15" customHeight="1" x14ac:dyDescent="0.25">
      <c r="A2" s="5" t="s">
        <v>353</v>
      </c>
    </row>
    <row r="3" spans="1:18" ht="15" customHeight="1" x14ac:dyDescent="0.25">
      <c r="A3" s="3" t="s">
        <v>190</v>
      </c>
      <c r="B3" s="17">
        <v>0.1</v>
      </c>
      <c r="C3" s="3" t="s">
        <v>354</v>
      </c>
      <c r="E3" s="17">
        <v>0.13500000000000001</v>
      </c>
      <c r="F3" s="5" t="s">
        <v>355</v>
      </c>
    </row>
    <row r="4" spans="1:18" ht="15" customHeight="1" x14ac:dyDescent="0.25">
      <c r="A4" s="5" t="s">
        <v>356</v>
      </c>
    </row>
    <row r="5" spans="1:18" ht="38.25" customHeight="1" x14ac:dyDescent="0.25">
      <c r="A5" s="18" t="s">
        <v>357</v>
      </c>
      <c r="B5" s="18" t="s">
        <v>358</v>
      </c>
      <c r="C5" s="18" t="s">
        <v>359</v>
      </c>
      <c r="D5" s="18" t="s">
        <v>360</v>
      </c>
      <c r="E5" s="18" t="s">
        <v>361</v>
      </c>
      <c r="F5" s="18" t="s">
        <v>362</v>
      </c>
      <c r="G5" s="18" t="s">
        <v>363</v>
      </c>
      <c r="H5" s="18" t="s">
        <v>364</v>
      </c>
      <c r="I5" s="18" t="s">
        <v>365</v>
      </c>
      <c r="J5" s="18" t="s">
        <v>85</v>
      </c>
      <c r="K5" s="18" t="s">
        <v>366</v>
      </c>
      <c r="L5" s="18" t="s">
        <v>89</v>
      </c>
      <c r="M5" s="18" t="s">
        <v>90</v>
      </c>
      <c r="N5" s="18" t="s">
        <v>367</v>
      </c>
      <c r="O5" s="18"/>
      <c r="P5" s="18" t="s">
        <v>368</v>
      </c>
      <c r="Q5" s="18" t="s">
        <v>369</v>
      </c>
      <c r="R5" s="18" t="s">
        <v>18</v>
      </c>
    </row>
    <row r="6" spans="1:18" ht="15" customHeight="1" x14ac:dyDescent="0.25">
      <c r="A6" s="33" t="s">
        <v>370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371</v>
      </c>
      <c r="C1" s="42" t="s">
        <v>372</v>
      </c>
      <c r="D1" s="42" t="s">
        <v>373</v>
      </c>
      <c r="E1" s="42" t="s">
        <v>374</v>
      </c>
      <c r="F1" s="42" t="s">
        <v>375</v>
      </c>
      <c r="G1" s="42" t="s">
        <v>376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377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378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379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380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381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382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383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384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385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386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387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388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389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390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391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392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393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394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395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396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397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398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399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400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401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402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403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404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405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406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407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408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409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410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411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412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413</v>
      </c>
    </row>
    <row r="2" spans="1:8" ht="15" customHeight="1" x14ac:dyDescent="0.25">
      <c r="A2" s="5" t="s">
        <v>414</v>
      </c>
    </row>
    <row r="4" spans="1:8" ht="38.25" customHeight="1" x14ac:dyDescent="0.25">
      <c r="A4" s="18" t="s">
        <v>27</v>
      </c>
      <c r="B4" s="18" t="s">
        <v>415</v>
      </c>
      <c r="C4" s="18" t="s">
        <v>416</v>
      </c>
      <c r="D4" s="18" t="s">
        <v>361</v>
      </c>
      <c r="E4" s="18" t="s">
        <v>362</v>
      </c>
      <c r="F4" s="18" t="s">
        <v>363</v>
      </c>
      <c r="G4" s="18" t="s">
        <v>417</v>
      </c>
      <c r="H4" s="18" t="s">
        <v>94</v>
      </c>
    </row>
    <row r="5" spans="1:8" ht="26.25" customHeight="1" x14ac:dyDescent="0.25">
      <c r="A5" s="8" t="s">
        <v>112</v>
      </c>
      <c r="B5" s="8" t="s">
        <v>418</v>
      </c>
      <c r="C5" s="8" t="s">
        <v>419</v>
      </c>
      <c r="D5" s="8">
        <v>3</v>
      </c>
      <c r="E5" s="8">
        <v>5.21</v>
      </c>
      <c r="F5" s="8">
        <v>5.21</v>
      </c>
      <c r="G5" s="7" t="s">
        <v>420</v>
      </c>
      <c r="H5" s="52" t="s">
        <v>421</v>
      </c>
    </row>
    <row r="6" spans="1:8" ht="26.25" customHeight="1" x14ac:dyDescent="0.25">
      <c r="A6" s="8" t="s">
        <v>113</v>
      </c>
      <c r="B6" s="8" t="s">
        <v>422</v>
      </c>
      <c r="C6" s="8" t="s">
        <v>419</v>
      </c>
      <c r="D6" s="8">
        <v>3</v>
      </c>
      <c r="E6" s="8">
        <v>5.21</v>
      </c>
      <c r="F6" s="8">
        <v>5.21</v>
      </c>
      <c r="G6" s="7" t="s">
        <v>420</v>
      </c>
      <c r="H6" s="52" t="s">
        <v>421</v>
      </c>
    </row>
    <row r="7" spans="1:8" ht="26.25" customHeight="1" x14ac:dyDescent="0.25">
      <c r="A7" s="8" t="s">
        <v>114</v>
      </c>
      <c r="B7" s="8" t="s">
        <v>423</v>
      </c>
      <c r="C7" s="8" t="s">
        <v>419</v>
      </c>
      <c r="D7" s="8">
        <v>3</v>
      </c>
      <c r="E7" s="8">
        <v>5.21</v>
      </c>
      <c r="F7" s="8">
        <v>5.21</v>
      </c>
      <c r="G7" s="7" t="s">
        <v>420</v>
      </c>
      <c r="H7" s="52" t="s">
        <v>421</v>
      </c>
    </row>
    <row r="8" spans="1:8" ht="26.25" customHeight="1" x14ac:dyDescent="0.25">
      <c r="A8" s="8" t="s">
        <v>116</v>
      </c>
      <c r="B8" s="8" t="s">
        <v>424</v>
      </c>
      <c r="C8" s="8" t="s">
        <v>419</v>
      </c>
      <c r="D8" s="8">
        <v>3</v>
      </c>
      <c r="E8" s="8">
        <v>5.21</v>
      </c>
      <c r="F8" s="8">
        <v>5.21</v>
      </c>
      <c r="G8" s="7" t="s">
        <v>420</v>
      </c>
      <c r="H8" s="52" t="s">
        <v>421</v>
      </c>
    </row>
    <row r="9" spans="1:8" ht="26.25" customHeight="1" x14ac:dyDescent="0.25">
      <c r="A9" s="8" t="s">
        <v>38</v>
      </c>
      <c r="B9" s="8" t="s">
        <v>425</v>
      </c>
      <c r="C9" s="8" t="s">
        <v>419</v>
      </c>
      <c r="D9" s="8">
        <v>3</v>
      </c>
      <c r="E9" s="8">
        <v>5.21</v>
      </c>
      <c r="F9" s="8">
        <v>5.21</v>
      </c>
      <c r="G9" s="7" t="s">
        <v>420</v>
      </c>
      <c r="H9" s="52" t="s">
        <v>421</v>
      </c>
    </row>
    <row r="10" spans="1:8" ht="26.25" customHeight="1" x14ac:dyDescent="0.25">
      <c r="A10" s="8" t="s">
        <v>117</v>
      </c>
      <c r="B10" s="8" t="s">
        <v>426</v>
      </c>
      <c r="C10" s="8" t="s">
        <v>419</v>
      </c>
      <c r="D10" s="8">
        <v>3</v>
      </c>
      <c r="E10" s="8">
        <v>5.21</v>
      </c>
      <c r="F10" s="8">
        <v>5.21</v>
      </c>
      <c r="G10" s="7" t="s">
        <v>420</v>
      </c>
      <c r="H10" s="52" t="s">
        <v>421</v>
      </c>
    </row>
    <row r="11" spans="1:8" ht="26.25" customHeight="1" x14ac:dyDescent="0.25">
      <c r="A11" s="8" t="s">
        <v>115</v>
      </c>
      <c r="B11" s="8" t="s">
        <v>427</v>
      </c>
      <c r="C11" s="8" t="s">
        <v>419</v>
      </c>
      <c r="D11" s="8">
        <v>3</v>
      </c>
      <c r="E11" s="8">
        <v>5.21</v>
      </c>
      <c r="F11" s="8">
        <v>5.21</v>
      </c>
      <c r="G11" s="7" t="s">
        <v>420</v>
      </c>
      <c r="H11" s="52" t="s">
        <v>421</v>
      </c>
    </row>
    <row r="12" spans="1:8" ht="26.25" customHeight="1" x14ac:dyDescent="0.25">
      <c r="A12" s="8" t="s">
        <v>123</v>
      </c>
      <c r="B12" s="8" t="s">
        <v>428</v>
      </c>
      <c r="C12" s="8" t="s">
        <v>419</v>
      </c>
      <c r="D12" s="8">
        <v>3</v>
      </c>
      <c r="E12" s="8">
        <v>5.21</v>
      </c>
      <c r="F12" s="8">
        <v>5.21</v>
      </c>
      <c r="G12" s="7" t="s">
        <v>420</v>
      </c>
      <c r="H12" s="52" t="s">
        <v>421</v>
      </c>
    </row>
    <row r="13" spans="1:8" ht="26.25" customHeight="1" x14ac:dyDescent="0.25">
      <c r="A13" s="8" t="s">
        <v>124</v>
      </c>
      <c r="B13" s="8" t="s">
        <v>429</v>
      </c>
      <c r="C13" s="8" t="s">
        <v>419</v>
      </c>
      <c r="D13" s="8">
        <v>3</v>
      </c>
      <c r="E13" s="8">
        <v>5.21</v>
      </c>
      <c r="F13" s="8">
        <v>5.21</v>
      </c>
      <c r="G13" s="7" t="s">
        <v>420</v>
      </c>
      <c r="H13" s="52" t="s">
        <v>421</v>
      </c>
    </row>
    <row r="14" spans="1:8" ht="15" customHeight="1" x14ac:dyDescent="0.25">
      <c r="A14" s="8" t="s">
        <v>103</v>
      </c>
      <c r="B14" s="8" t="s">
        <v>430</v>
      </c>
      <c r="C14" s="8" t="s">
        <v>431</v>
      </c>
      <c r="D14" s="8">
        <v>3</v>
      </c>
      <c r="E14" s="8">
        <v>4.6100000000000003</v>
      </c>
      <c r="F14" s="8">
        <v>4.6100000000000003</v>
      </c>
      <c r="G14" s="7" t="s">
        <v>420</v>
      </c>
      <c r="H14" s="52"/>
    </row>
    <row r="15" spans="1:8" ht="26.25" customHeight="1" x14ac:dyDescent="0.25">
      <c r="A15" s="8" t="s">
        <v>125</v>
      </c>
      <c r="B15" s="8" t="s">
        <v>432</v>
      </c>
      <c r="C15" s="8" t="s">
        <v>433</v>
      </c>
      <c r="D15" s="8">
        <v>2.5</v>
      </c>
      <c r="E15" s="8">
        <v>3.5</v>
      </c>
      <c r="F15" s="8">
        <v>3.5</v>
      </c>
      <c r="G15" s="7" t="s">
        <v>420</v>
      </c>
      <c r="H15" s="52" t="s">
        <v>434</v>
      </c>
    </row>
    <row r="16" spans="1:8" ht="15" customHeight="1" x14ac:dyDescent="0.25">
      <c r="A16" s="8" t="s">
        <v>46</v>
      </c>
      <c r="B16" s="8" t="s">
        <v>435</v>
      </c>
      <c r="C16" s="8" t="s">
        <v>436</v>
      </c>
      <c r="D16" s="8">
        <v>2</v>
      </c>
      <c r="E16" s="8">
        <v>3.12</v>
      </c>
      <c r="F16" s="8">
        <v>3.12</v>
      </c>
      <c r="G16" s="7" t="s">
        <v>420</v>
      </c>
      <c r="H16" s="52"/>
    </row>
    <row r="17" spans="1:8" ht="15" customHeight="1" x14ac:dyDescent="0.25">
      <c r="A17" s="8" t="s">
        <v>107</v>
      </c>
      <c r="B17" s="8" t="s">
        <v>437</v>
      </c>
      <c r="C17" s="8" t="s">
        <v>436</v>
      </c>
      <c r="D17" s="8">
        <v>2</v>
      </c>
      <c r="E17" s="8">
        <v>3.12</v>
      </c>
      <c r="F17" s="8">
        <v>3.12</v>
      </c>
      <c r="G17" s="7" t="s">
        <v>420</v>
      </c>
      <c r="H17" s="52"/>
    </row>
    <row r="18" spans="1:8" ht="15" customHeight="1" x14ac:dyDescent="0.25">
      <c r="A18" s="8" t="s">
        <v>108</v>
      </c>
      <c r="B18" s="8" t="s">
        <v>438</v>
      </c>
      <c r="C18" s="8" t="s">
        <v>436</v>
      </c>
      <c r="D18" s="8">
        <v>2</v>
      </c>
      <c r="E18" s="8">
        <v>3.12</v>
      </c>
      <c r="F18" s="8">
        <v>3.12</v>
      </c>
      <c r="G18" s="7" t="s">
        <v>420</v>
      </c>
      <c r="H18" s="52"/>
    </row>
    <row r="19" spans="1:8" ht="15" customHeight="1" x14ac:dyDescent="0.25">
      <c r="A19" s="8" t="s">
        <v>109</v>
      </c>
      <c r="B19" s="8" t="s">
        <v>439</v>
      </c>
      <c r="C19" s="8" t="s">
        <v>436</v>
      </c>
      <c r="D19" s="8">
        <v>2</v>
      </c>
      <c r="E19" s="8">
        <v>3.12</v>
      </c>
      <c r="F19" s="8">
        <v>3.12</v>
      </c>
      <c r="G19" s="7" t="s">
        <v>420</v>
      </c>
      <c r="H19" s="52"/>
    </row>
    <row r="20" spans="1:8" ht="15" customHeight="1" x14ac:dyDescent="0.25">
      <c r="A20" s="8" t="s">
        <v>110</v>
      </c>
      <c r="B20" s="8" t="s">
        <v>440</v>
      </c>
      <c r="C20" s="8" t="s">
        <v>436</v>
      </c>
      <c r="D20" s="8">
        <v>2</v>
      </c>
      <c r="E20" s="8">
        <v>3.12</v>
      </c>
      <c r="F20" s="8">
        <v>3.12</v>
      </c>
      <c r="G20" s="7" t="s">
        <v>420</v>
      </c>
      <c r="H20" s="52"/>
    </row>
    <row r="21" spans="1:8" ht="15" customHeight="1" x14ac:dyDescent="0.25">
      <c r="A21" s="8" t="s">
        <v>111</v>
      </c>
      <c r="B21" s="8" t="s">
        <v>441</v>
      </c>
      <c r="C21" s="8" t="s">
        <v>436</v>
      </c>
      <c r="D21" s="8">
        <v>2</v>
      </c>
      <c r="E21" s="8">
        <v>3.12</v>
      </c>
      <c r="F21" s="8">
        <v>3.12</v>
      </c>
      <c r="G21" s="7" t="s">
        <v>420</v>
      </c>
      <c r="H21" s="52"/>
    </row>
    <row r="22" spans="1:8" ht="15" customHeight="1" x14ac:dyDescent="0.25">
      <c r="A22" s="8" t="s">
        <v>40</v>
      </c>
      <c r="B22" s="8" t="s">
        <v>442</v>
      </c>
      <c r="C22" s="8" t="s">
        <v>436</v>
      </c>
      <c r="D22" s="8">
        <v>2</v>
      </c>
      <c r="E22" s="8">
        <v>3.12</v>
      </c>
      <c r="F22" s="8">
        <v>3.12</v>
      </c>
      <c r="G22" s="7" t="s">
        <v>420</v>
      </c>
      <c r="H22" s="52"/>
    </row>
    <row r="23" spans="1:8" ht="15" customHeight="1" x14ac:dyDescent="0.25">
      <c r="A23" s="8" t="s">
        <v>41</v>
      </c>
      <c r="B23" s="8" t="s">
        <v>443</v>
      </c>
      <c r="C23" s="8" t="s">
        <v>436</v>
      </c>
      <c r="D23" s="8">
        <v>2</v>
      </c>
      <c r="E23" s="8">
        <v>3.12</v>
      </c>
      <c r="F23" s="8">
        <v>3.12</v>
      </c>
      <c r="G23" s="7" t="s">
        <v>420</v>
      </c>
      <c r="H23" s="52"/>
    </row>
    <row r="24" spans="1:8" ht="15" customHeight="1" x14ac:dyDescent="0.25">
      <c r="A24" s="8" t="s">
        <v>39</v>
      </c>
      <c r="B24" s="8" t="s">
        <v>444</v>
      </c>
      <c r="C24" s="8" t="s">
        <v>436</v>
      </c>
      <c r="D24" s="8">
        <v>2</v>
      </c>
      <c r="E24" s="8">
        <v>3.12</v>
      </c>
      <c r="F24" s="8">
        <v>3.12</v>
      </c>
      <c r="G24" s="7" t="s">
        <v>420</v>
      </c>
      <c r="H24" s="52"/>
    </row>
    <row r="25" spans="1:8" ht="15" customHeight="1" x14ac:dyDescent="0.25">
      <c r="A25" s="8" t="s">
        <v>36</v>
      </c>
      <c r="B25" s="8" t="s">
        <v>445</v>
      </c>
      <c r="C25" s="8" t="s">
        <v>436</v>
      </c>
      <c r="D25" s="8">
        <v>2</v>
      </c>
      <c r="E25" s="8">
        <v>3.12</v>
      </c>
      <c r="F25" s="8">
        <v>3.12</v>
      </c>
      <c r="G25" s="7" t="s">
        <v>420</v>
      </c>
      <c r="H25" s="52"/>
    </row>
    <row r="26" spans="1:8" ht="15" customHeight="1" x14ac:dyDescent="0.25">
      <c r="A26" s="8" t="s">
        <v>120</v>
      </c>
      <c r="B26" s="8" t="s">
        <v>446</v>
      </c>
      <c r="C26" s="8" t="s">
        <v>436</v>
      </c>
      <c r="D26" s="8">
        <v>2</v>
      </c>
      <c r="E26" s="8">
        <v>3.12</v>
      </c>
      <c r="F26" s="8">
        <v>3.12</v>
      </c>
      <c r="G26" s="7" t="s">
        <v>420</v>
      </c>
      <c r="H26" s="52"/>
    </row>
    <row r="27" spans="1:8" ht="15" customHeight="1" x14ac:dyDescent="0.25">
      <c r="A27" s="8" t="s">
        <v>121</v>
      </c>
      <c r="B27" s="8" t="s">
        <v>447</v>
      </c>
      <c r="C27" s="8" t="s">
        <v>436</v>
      </c>
      <c r="D27" s="8">
        <v>2</v>
      </c>
      <c r="E27" s="8">
        <v>3.12</v>
      </c>
      <c r="F27" s="8">
        <v>3.12</v>
      </c>
      <c r="G27" s="7" t="s">
        <v>420</v>
      </c>
      <c r="H27" s="52"/>
    </row>
    <row r="28" spans="1:8" ht="15" customHeight="1" x14ac:dyDescent="0.25">
      <c r="A28" s="8" t="s">
        <v>122</v>
      </c>
      <c r="B28" s="8" t="s">
        <v>448</v>
      </c>
      <c r="C28" s="8" t="s">
        <v>436</v>
      </c>
      <c r="D28" s="8">
        <v>2</v>
      </c>
      <c r="E28" s="8">
        <v>3.12</v>
      </c>
      <c r="F28" s="8">
        <v>3.12</v>
      </c>
      <c r="G28" s="7" t="s">
        <v>420</v>
      </c>
      <c r="H28" s="52"/>
    </row>
    <row r="29" spans="1:8" ht="15" customHeight="1" x14ac:dyDescent="0.25">
      <c r="A29" s="8" t="s">
        <v>127</v>
      </c>
      <c r="B29" s="8" t="s">
        <v>449</v>
      </c>
      <c r="C29" s="8" t="s">
        <v>436</v>
      </c>
      <c r="D29" s="8">
        <v>2</v>
      </c>
      <c r="E29" s="8">
        <v>3.12</v>
      </c>
      <c r="F29" s="8">
        <v>3.12</v>
      </c>
      <c r="G29" s="7" t="s">
        <v>420</v>
      </c>
      <c r="H29" s="52"/>
    </row>
    <row r="30" spans="1:8" ht="15" customHeight="1" x14ac:dyDescent="0.25">
      <c r="A30" s="8" t="s">
        <v>32</v>
      </c>
      <c r="B30" s="8" t="s">
        <v>450</v>
      </c>
      <c r="C30" s="8" t="s">
        <v>436</v>
      </c>
      <c r="D30" s="8">
        <v>2</v>
      </c>
      <c r="E30" s="8">
        <v>3.12</v>
      </c>
      <c r="F30" s="8">
        <v>3.12</v>
      </c>
      <c r="G30" s="7" t="s">
        <v>420</v>
      </c>
      <c r="H30" s="52"/>
    </row>
    <row r="31" spans="1:8" ht="15" customHeight="1" x14ac:dyDescent="0.25">
      <c r="A31" s="8" t="s">
        <v>30</v>
      </c>
      <c r="B31" s="8" t="s">
        <v>451</v>
      </c>
      <c r="C31" s="8" t="s">
        <v>452</v>
      </c>
      <c r="D31" s="8">
        <v>2.5</v>
      </c>
      <c r="E31" s="8">
        <v>2.92</v>
      </c>
      <c r="F31" s="8">
        <v>2.92</v>
      </c>
      <c r="G31" s="7" t="s">
        <v>420</v>
      </c>
      <c r="H31" s="52"/>
    </row>
    <row r="32" spans="1:8" ht="15" customHeight="1" x14ac:dyDescent="0.25">
      <c r="A32" s="8" t="s">
        <v>101</v>
      </c>
      <c r="B32" s="8" t="s">
        <v>451</v>
      </c>
      <c r="C32" s="8" t="s">
        <v>452</v>
      </c>
      <c r="D32" s="8">
        <v>2.5</v>
      </c>
      <c r="E32" s="8">
        <v>2.92</v>
      </c>
      <c r="F32" s="8">
        <v>2.92</v>
      </c>
      <c r="G32" s="7" t="s">
        <v>420</v>
      </c>
      <c r="H32" s="52"/>
    </row>
    <row r="33" spans="1:8" ht="15" customHeight="1" x14ac:dyDescent="0.25">
      <c r="A33" s="8" t="s">
        <v>126</v>
      </c>
      <c r="B33" s="8" t="s">
        <v>453</v>
      </c>
      <c r="C33" s="8" t="s">
        <v>454</v>
      </c>
      <c r="D33" s="8">
        <v>2</v>
      </c>
      <c r="E33" s="8">
        <v>1.43</v>
      </c>
      <c r="F33" s="8">
        <v>2</v>
      </c>
      <c r="G33" s="7" t="s">
        <v>420</v>
      </c>
      <c r="H33" s="52"/>
    </row>
    <row r="34" spans="1:8" ht="15" customHeight="1" x14ac:dyDescent="0.25">
      <c r="A34" s="8" t="s">
        <v>95</v>
      </c>
      <c r="B34" s="8" t="s">
        <v>455</v>
      </c>
      <c r="C34" s="8" t="s">
        <v>456</v>
      </c>
      <c r="D34" s="8">
        <v>1.5</v>
      </c>
      <c r="E34" s="8">
        <v>1.98</v>
      </c>
      <c r="F34" s="8">
        <v>1.98</v>
      </c>
      <c r="G34" s="7" t="s">
        <v>420</v>
      </c>
      <c r="H34" s="52"/>
    </row>
    <row r="35" spans="1:8" ht="15" customHeight="1" x14ac:dyDescent="0.25">
      <c r="A35" s="8" t="s">
        <v>99</v>
      </c>
      <c r="B35" s="8" t="s">
        <v>455</v>
      </c>
      <c r="C35" s="8" t="s">
        <v>456</v>
      </c>
      <c r="D35" s="8">
        <v>1.5</v>
      </c>
      <c r="E35" s="8">
        <v>1.98</v>
      </c>
      <c r="F35" s="8">
        <v>1.98</v>
      </c>
      <c r="G35" s="7" t="s">
        <v>420</v>
      </c>
      <c r="H35" s="52"/>
    </row>
    <row r="36" spans="1:8" ht="15" customHeight="1" x14ac:dyDescent="0.25">
      <c r="A36" s="8" t="s">
        <v>44</v>
      </c>
      <c r="B36" s="8" t="s">
        <v>457</v>
      </c>
      <c r="C36" s="8" t="s">
        <v>456</v>
      </c>
      <c r="D36" s="8">
        <v>1.5</v>
      </c>
      <c r="E36" s="8">
        <v>1.98</v>
      </c>
      <c r="F36" s="8">
        <v>1.98</v>
      </c>
      <c r="G36" s="7" t="s">
        <v>420</v>
      </c>
      <c r="H36" s="52"/>
    </row>
    <row r="37" spans="1:8" ht="15" customHeight="1" x14ac:dyDescent="0.25">
      <c r="A37" s="8" t="s">
        <v>34</v>
      </c>
      <c r="B37" s="8" t="s">
        <v>458</v>
      </c>
      <c r="C37" s="8" t="s">
        <v>456</v>
      </c>
      <c r="D37" s="8">
        <v>1.5</v>
      </c>
      <c r="E37" s="8">
        <v>1.98</v>
      </c>
      <c r="F37" s="8">
        <v>1.98</v>
      </c>
      <c r="G37" s="7" t="s">
        <v>420</v>
      </c>
      <c r="H37" s="52"/>
    </row>
    <row r="38" spans="1:8" ht="15" customHeight="1" x14ac:dyDescent="0.25">
      <c r="A38" s="8" t="s">
        <v>104</v>
      </c>
      <c r="B38" s="8" t="s">
        <v>459</v>
      </c>
      <c r="C38" s="8" t="s">
        <v>456</v>
      </c>
      <c r="D38" s="8">
        <v>1.5</v>
      </c>
      <c r="E38" s="8">
        <v>1.98</v>
      </c>
      <c r="F38" s="8">
        <v>1.98</v>
      </c>
      <c r="G38" s="7" t="s">
        <v>420</v>
      </c>
      <c r="H38" s="52"/>
    </row>
    <row r="39" spans="1:8" ht="15" customHeight="1" x14ac:dyDescent="0.25">
      <c r="A39" s="8" t="s">
        <v>37</v>
      </c>
      <c r="B39" s="8" t="s">
        <v>460</v>
      </c>
      <c r="C39" s="8" t="s">
        <v>456</v>
      </c>
      <c r="D39" s="8">
        <v>1.5</v>
      </c>
      <c r="E39" s="8">
        <v>1.98</v>
      </c>
      <c r="F39" s="8">
        <v>1.98</v>
      </c>
      <c r="G39" s="7" t="s">
        <v>420</v>
      </c>
      <c r="H39" s="52"/>
    </row>
    <row r="40" spans="1:8" ht="15" customHeight="1" x14ac:dyDescent="0.25">
      <c r="A40" s="8" t="s">
        <v>47</v>
      </c>
      <c r="B40" s="8" t="s">
        <v>461</v>
      </c>
      <c r="C40" s="8" t="s">
        <v>456</v>
      </c>
      <c r="D40" s="8">
        <v>1.5</v>
      </c>
      <c r="E40" s="8">
        <v>1.98</v>
      </c>
      <c r="F40" s="8">
        <v>1.98</v>
      </c>
      <c r="G40" s="7" t="s">
        <v>420</v>
      </c>
      <c r="H40" s="52"/>
    </row>
    <row r="41" spans="1:8" ht="15" customHeight="1" x14ac:dyDescent="0.25">
      <c r="A41" s="8" t="s">
        <v>48</v>
      </c>
      <c r="B41" s="8" t="s">
        <v>462</v>
      </c>
      <c r="C41" s="8" t="s">
        <v>456</v>
      </c>
      <c r="D41" s="8">
        <v>1.5</v>
      </c>
      <c r="E41" s="8">
        <v>1.98</v>
      </c>
      <c r="F41" s="8">
        <v>1.98</v>
      </c>
      <c r="G41" s="7" t="s">
        <v>420</v>
      </c>
      <c r="H41" s="52"/>
    </row>
    <row r="42" spans="1:8" ht="15" customHeight="1" x14ac:dyDescent="0.25">
      <c r="A42" s="8" t="s">
        <v>105</v>
      </c>
      <c r="B42" s="8" t="s">
        <v>463</v>
      </c>
      <c r="C42" s="8" t="s">
        <v>456</v>
      </c>
      <c r="D42" s="8">
        <v>1.5</v>
      </c>
      <c r="E42" s="8">
        <v>1.98</v>
      </c>
      <c r="F42" s="8">
        <v>1.98</v>
      </c>
      <c r="G42" s="7" t="s">
        <v>420</v>
      </c>
      <c r="H42" s="52"/>
    </row>
    <row r="43" spans="1:8" ht="15" customHeight="1" x14ac:dyDescent="0.25">
      <c r="A43" s="8" t="s">
        <v>33</v>
      </c>
      <c r="B43" s="8" t="s">
        <v>464</v>
      </c>
      <c r="C43" s="8" t="s">
        <v>456</v>
      </c>
      <c r="D43" s="8">
        <v>1.5</v>
      </c>
      <c r="E43" s="8">
        <v>1.98</v>
      </c>
      <c r="F43" s="8">
        <v>1.98</v>
      </c>
      <c r="G43" s="7" t="s">
        <v>420</v>
      </c>
      <c r="H43" s="52"/>
    </row>
    <row r="44" spans="1:8" ht="15" customHeight="1" x14ac:dyDescent="0.25">
      <c r="A44" s="8" t="s">
        <v>45</v>
      </c>
      <c r="B44" s="8" t="s">
        <v>465</v>
      </c>
      <c r="C44" s="8" t="s">
        <v>456</v>
      </c>
      <c r="D44" s="8">
        <v>1.5</v>
      </c>
      <c r="E44" s="8">
        <v>1.98</v>
      </c>
      <c r="F44" s="8">
        <v>1.98</v>
      </c>
      <c r="G44" s="7" t="s">
        <v>420</v>
      </c>
      <c r="H44" s="52"/>
    </row>
    <row r="45" spans="1:8" ht="15" customHeight="1" x14ac:dyDescent="0.25">
      <c r="A45" s="8" t="s">
        <v>49</v>
      </c>
      <c r="B45" s="8" t="s">
        <v>466</v>
      </c>
      <c r="C45" s="8" t="s">
        <v>456</v>
      </c>
      <c r="D45" s="8">
        <v>1.5</v>
      </c>
      <c r="E45" s="8">
        <v>1.98</v>
      </c>
      <c r="F45" s="8">
        <v>1.98</v>
      </c>
      <c r="G45" s="7" t="s">
        <v>420</v>
      </c>
      <c r="H45" s="52"/>
    </row>
    <row r="46" spans="1:8" ht="15" customHeight="1" x14ac:dyDescent="0.25">
      <c r="A46" s="8" t="s">
        <v>31</v>
      </c>
      <c r="B46" s="8" t="s">
        <v>467</v>
      </c>
      <c r="C46" s="8" t="s">
        <v>456</v>
      </c>
      <c r="D46" s="8">
        <v>1.5</v>
      </c>
      <c r="E46" s="8">
        <v>1.98</v>
      </c>
      <c r="F46" s="8">
        <v>1.98</v>
      </c>
      <c r="G46" s="7" t="s">
        <v>420</v>
      </c>
      <c r="H46" s="52"/>
    </row>
    <row r="47" spans="1:8" ht="15" customHeight="1" x14ac:dyDescent="0.25">
      <c r="A47" s="8" t="s">
        <v>106</v>
      </c>
      <c r="B47" s="8" t="s">
        <v>468</v>
      </c>
      <c r="C47" s="8" t="s">
        <v>456</v>
      </c>
      <c r="D47" s="8">
        <v>1.5</v>
      </c>
      <c r="E47" s="8">
        <v>1.98</v>
      </c>
      <c r="F47" s="8">
        <v>1.98</v>
      </c>
      <c r="G47" s="7" t="s">
        <v>420</v>
      </c>
      <c r="H47" s="52"/>
    </row>
    <row r="48" spans="1:8" ht="15" customHeight="1" x14ac:dyDescent="0.25">
      <c r="A48" s="8" t="s">
        <v>118</v>
      </c>
      <c r="B48" s="8" t="s">
        <v>469</v>
      </c>
      <c r="C48" s="8" t="s">
        <v>456</v>
      </c>
      <c r="D48" s="8">
        <v>1.5</v>
      </c>
      <c r="E48" s="8">
        <v>1.98</v>
      </c>
      <c r="F48" s="8">
        <v>1.98</v>
      </c>
      <c r="G48" s="7" t="s">
        <v>420</v>
      </c>
      <c r="H48" s="52"/>
    </row>
    <row r="49" spans="1:8" ht="15" customHeight="1" x14ac:dyDescent="0.25">
      <c r="A49" s="8" t="s">
        <v>119</v>
      </c>
      <c r="B49" s="8" t="s">
        <v>470</v>
      </c>
      <c r="C49" s="8" t="s">
        <v>456</v>
      </c>
      <c r="D49" s="8">
        <v>1.5</v>
      </c>
      <c r="E49" s="8">
        <v>1.98</v>
      </c>
      <c r="F49" s="8">
        <v>1.98</v>
      </c>
      <c r="G49" s="7" t="s">
        <v>420</v>
      </c>
      <c r="H49" s="52"/>
    </row>
    <row r="50" spans="1:8" ht="26.25" customHeight="1" x14ac:dyDescent="0.25">
      <c r="A50" s="8" t="s">
        <v>35</v>
      </c>
      <c r="B50" s="8" t="s">
        <v>471</v>
      </c>
      <c r="C50" s="8" t="s">
        <v>472</v>
      </c>
      <c r="D50" s="8">
        <v>1</v>
      </c>
      <c r="E50" s="8">
        <v>0.87</v>
      </c>
      <c r="F50" s="8">
        <v>1</v>
      </c>
      <c r="G50" s="7" t="s">
        <v>420</v>
      </c>
      <c r="H50" s="52" t="s">
        <v>473</v>
      </c>
    </row>
    <row r="51" spans="1:8" ht="26.25" customHeight="1" x14ac:dyDescent="0.25">
      <c r="A51" s="8" t="s">
        <v>150</v>
      </c>
      <c r="B51" s="8" t="s">
        <v>474</v>
      </c>
      <c r="C51" s="8" t="s">
        <v>475</v>
      </c>
      <c r="D51" s="8">
        <v>6</v>
      </c>
      <c r="E51" s="8">
        <v>17.64</v>
      </c>
      <c r="F51" s="8">
        <v>17.64</v>
      </c>
      <c r="G51" s="9" t="s">
        <v>476</v>
      </c>
      <c r="H51" s="52" t="s">
        <v>477</v>
      </c>
    </row>
    <row r="52" spans="1:8" ht="26.25" customHeight="1" x14ac:dyDescent="0.25">
      <c r="A52" s="8" t="s">
        <v>151</v>
      </c>
      <c r="B52" s="8" t="s">
        <v>478</v>
      </c>
      <c r="C52" s="8" t="s">
        <v>475</v>
      </c>
      <c r="D52" s="8">
        <v>6</v>
      </c>
      <c r="E52" s="8">
        <v>17.64</v>
      </c>
      <c r="F52" s="8">
        <v>17.64</v>
      </c>
      <c r="G52" s="9" t="s">
        <v>476</v>
      </c>
      <c r="H52" s="52" t="s">
        <v>477</v>
      </c>
    </row>
    <row r="53" spans="1:8" ht="26.25" customHeight="1" x14ac:dyDescent="0.25">
      <c r="A53" s="8" t="s">
        <v>152</v>
      </c>
      <c r="B53" s="8" t="s">
        <v>479</v>
      </c>
      <c r="C53" s="8" t="s">
        <v>475</v>
      </c>
      <c r="D53" s="8">
        <v>6</v>
      </c>
      <c r="E53" s="8">
        <v>17.64</v>
      </c>
      <c r="F53" s="8">
        <v>17.64</v>
      </c>
      <c r="G53" s="9" t="s">
        <v>476</v>
      </c>
      <c r="H53" s="52" t="s">
        <v>477</v>
      </c>
    </row>
    <row r="54" spans="1:8" ht="26.25" customHeight="1" x14ac:dyDescent="0.25">
      <c r="A54" s="8" t="s">
        <v>153</v>
      </c>
      <c r="B54" s="8" t="s">
        <v>480</v>
      </c>
      <c r="C54" s="8" t="s">
        <v>475</v>
      </c>
      <c r="D54" s="8">
        <v>6</v>
      </c>
      <c r="E54" s="8">
        <v>17.64</v>
      </c>
      <c r="F54" s="8">
        <v>17.64</v>
      </c>
      <c r="G54" s="9" t="s">
        <v>476</v>
      </c>
      <c r="H54" s="52" t="s">
        <v>477</v>
      </c>
    </row>
    <row r="55" spans="1:8" ht="26.25" customHeight="1" x14ac:dyDescent="0.25">
      <c r="A55" s="8" t="s">
        <v>158</v>
      </c>
      <c r="B55" s="8" t="s">
        <v>481</v>
      </c>
      <c r="C55" s="8" t="s">
        <v>475</v>
      </c>
      <c r="D55" s="8">
        <v>6</v>
      </c>
      <c r="E55" s="8">
        <v>17.64</v>
      </c>
      <c r="F55" s="8">
        <v>17.64</v>
      </c>
      <c r="G55" s="9" t="s">
        <v>476</v>
      </c>
      <c r="H55" s="52" t="s">
        <v>477</v>
      </c>
    </row>
    <row r="56" spans="1:8" ht="26.25" customHeight="1" x14ac:dyDescent="0.25">
      <c r="A56" s="8" t="s">
        <v>159</v>
      </c>
      <c r="B56" s="8" t="s">
        <v>482</v>
      </c>
      <c r="C56" s="8" t="s">
        <v>475</v>
      </c>
      <c r="D56" s="8">
        <v>6</v>
      </c>
      <c r="E56" s="8">
        <v>17.64</v>
      </c>
      <c r="F56" s="8">
        <v>17.64</v>
      </c>
      <c r="G56" s="9" t="s">
        <v>476</v>
      </c>
      <c r="H56" s="52" t="s">
        <v>477</v>
      </c>
    </row>
    <row r="57" spans="1:8" ht="26.25" customHeight="1" x14ac:dyDescent="0.25">
      <c r="A57" s="8" t="s">
        <v>58</v>
      </c>
      <c r="B57" s="8" t="s">
        <v>483</v>
      </c>
      <c r="C57" s="8" t="s">
        <v>475</v>
      </c>
      <c r="D57" s="8">
        <v>6</v>
      </c>
      <c r="E57" s="8">
        <v>17.64</v>
      </c>
      <c r="F57" s="8">
        <v>17.64</v>
      </c>
      <c r="G57" s="9" t="s">
        <v>476</v>
      </c>
      <c r="H57" s="52" t="s">
        <v>477</v>
      </c>
    </row>
    <row r="58" spans="1:8" ht="26.25" customHeight="1" x14ac:dyDescent="0.25">
      <c r="A58" s="8" t="s">
        <v>160</v>
      </c>
      <c r="B58" s="8" t="s">
        <v>484</v>
      </c>
      <c r="C58" s="8" t="s">
        <v>475</v>
      </c>
      <c r="D58" s="8">
        <v>6</v>
      </c>
      <c r="E58" s="8">
        <v>17.64</v>
      </c>
      <c r="F58" s="8">
        <v>17.64</v>
      </c>
      <c r="G58" s="9" t="s">
        <v>476</v>
      </c>
      <c r="H58" s="52" t="s">
        <v>477</v>
      </c>
    </row>
    <row r="59" spans="1:8" ht="26.25" customHeight="1" x14ac:dyDescent="0.25">
      <c r="A59" s="8" t="s">
        <v>60</v>
      </c>
      <c r="B59" s="8" t="s">
        <v>485</v>
      </c>
      <c r="C59" s="8" t="s">
        <v>475</v>
      </c>
      <c r="D59" s="8">
        <v>6</v>
      </c>
      <c r="E59" s="8">
        <v>17.64</v>
      </c>
      <c r="F59" s="8">
        <v>17.64</v>
      </c>
      <c r="G59" s="9" t="s">
        <v>476</v>
      </c>
      <c r="H59" s="52" t="s">
        <v>477</v>
      </c>
    </row>
    <row r="60" spans="1:8" ht="26.25" customHeight="1" x14ac:dyDescent="0.25">
      <c r="A60" s="8" t="s">
        <v>186</v>
      </c>
      <c r="B60" s="8" t="s">
        <v>486</v>
      </c>
      <c r="C60" s="8" t="s">
        <v>487</v>
      </c>
      <c r="D60" s="8">
        <v>5</v>
      </c>
      <c r="E60" s="8">
        <v>16.88</v>
      </c>
      <c r="F60" s="8">
        <v>16.88</v>
      </c>
      <c r="G60" s="9" t="s">
        <v>476</v>
      </c>
      <c r="H60" s="52" t="s">
        <v>488</v>
      </c>
    </row>
    <row r="61" spans="1:8" ht="15" customHeight="1" x14ac:dyDescent="0.25">
      <c r="A61" s="8" t="s">
        <v>149</v>
      </c>
      <c r="B61" s="8" t="s">
        <v>489</v>
      </c>
      <c r="C61" s="8" t="s">
        <v>490</v>
      </c>
      <c r="D61" s="8">
        <v>6.5</v>
      </c>
      <c r="E61" s="8">
        <v>12.57</v>
      </c>
      <c r="F61" s="8">
        <v>12.57</v>
      </c>
      <c r="G61" s="9" t="s">
        <v>476</v>
      </c>
      <c r="H61" s="52"/>
    </row>
    <row r="62" spans="1:8" ht="15" customHeight="1" x14ac:dyDescent="0.25">
      <c r="A62" s="8" t="s">
        <v>170</v>
      </c>
      <c r="B62" s="8" t="s">
        <v>491</v>
      </c>
      <c r="C62" s="8" t="s">
        <v>492</v>
      </c>
      <c r="D62" s="8">
        <v>7</v>
      </c>
      <c r="E62" s="8">
        <v>11.53</v>
      </c>
      <c r="F62" s="8">
        <v>11.53</v>
      </c>
      <c r="G62" s="9" t="s">
        <v>476</v>
      </c>
      <c r="H62" s="52"/>
    </row>
    <row r="63" spans="1:8" ht="15" customHeight="1" x14ac:dyDescent="0.25">
      <c r="A63" s="8" t="s">
        <v>171</v>
      </c>
      <c r="B63" s="8" t="s">
        <v>493</v>
      </c>
      <c r="C63" s="8" t="s">
        <v>492</v>
      </c>
      <c r="D63" s="8">
        <v>7</v>
      </c>
      <c r="E63" s="8">
        <v>11.53</v>
      </c>
      <c r="F63" s="8">
        <v>11.53</v>
      </c>
      <c r="G63" s="9" t="s">
        <v>476</v>
      </c>
      <c r="H63" s="52"/>
    </row>
    <row r="64" spans="1:8" ht="15" customHeight="1" x14ac:dyDescent="0.25">
      <c r="A64" s="8" t="s">
        <v>146</v>
      </c>
      <c r="B64" s="8" t="s">
        <v>494</v>
      </c>
      <c r="C64" s="8" t="s">
        <v>495</v>
      </c>
      <c r="D64" s="8">
        <v>6</v>
      </c>
      <c r="E64" s="8">
        <v>11.21</v>
      </c>
      <c r="F64" s="8">
        <v>11.21</v>
      </c>
      <c r="G64" s="9" t="s">
        <v>476</v>
      </c>
      <c r="H64" s="52"/>
    </row>
    <row r="65" spans="1:8" ht="15" customHeight="1" x14ac:dyDescent="0.25">
      <c r="A65" s="8" t="s">
        <v>147</v>
      </c>
      <c r="B65" s="8" t="s">
        <v>496</v>
      </c>
      <c r="C65" s="8" t="s">
        <v>495</v>
      </c>
      <c r="D65" s="8">
        <v>6</v>
      </c>
      <c r="E65" s="8">
        <v>11.21</v>
      </c>
      <c r="F65" s="8">
        <v>11.21</v>
      </c>
      <c r="G65" s="9" t="s">
        <v>476</v>
      </c>
      <c r="H65" s="52"/>
    </row>
    <row r="66" spans="1:8" ht="15" customHeight="1" x14ac:dyDescent="0.25">
      <c r="A66" s="8" t="s">
        <v>148</v>
      </c>
      <c r="B66" s="8" t="s">
        <v>497</v>
      </c>
      <c r="C66" s="8" t="s">
        <v>495</v>
      </c>
      <c r="D66" s="8">
        <v>6</v>
      </c>
      <c r="E66" s="8">
        <v>11.21</v>
      </c>
      <c r="F66" s="8">
        <v>11.21</v>
      </c>
      <c r="G66" s="9" t="s">
        <v>476</v>
      </c>
      <c r="H66" s="52"/>
    </row>
    <row r="67" spans="1:8" ht="15" customHeight="1" x14ac:dyDescent="0.25">
      <c r="A67" s="8" t="s">
        <v>57</v>
      </c>
      <c r="B67" s="8" t="s">
        <v>498</v>
      </c>
      <c r="C67" s="8" t="s">
        <v>495</v>
      </c>
      <c r="D67" s="8">
        <v>6</v>
      </c>
      <c r="E67" s="8">
        <v>11.21</v>
      </c>
      <c r="F67" s="8">
        <v>11.21</v>
      </c>
      <c r="G67" s="9" t="s">
        <v>476</v>
      </c>
      <c r="H67" s="52"/>
    </row>
    <row r="68" spans="1:8" ht="15" customHeight="1" x14ac:dyDescent="0.25">
      <c r="A68" s="8" t="s">
        <v>56</v>
      </c>
      <c r="B68" s="8" t="s">
        <v>499</v>
      </c>
      <c r="C68" s="8" t="s">
        <v>495</v>
      </c>
      <c r="D68" s="8">
        <v>6</v>
      </c>
      <c r="E68" s="8">
        <v>11.21</v>
      </c>
      <c r="F68" s="8">
        <v>11.21</v>
      </c>
      <c r="G68" s="9" t="s">
        <v>476</v>
      </c>
      <c r="H68" s="52"/>
    </row>
    <row r="69" spans="1:8" ht="15" customHeight="1" x14ac:dyDescent="0.25">
      <c r="A69" s="8" t="s">
        <v>164</v>
      </c>
      <c r="B69" s="8" t="s">
        <v>500</v>
      </c>
      <c r="C69" s="8" t="s">
        <v>495</v>
      </c>
      <c r="D69" s="8">
        <v>6</v>
      </c>
      <c r="E69" s="8">
        <v>11.21</v>
      </c>
      <c r="F69" s="8">
        <v>11.21</v>
      </c>
      <c r="G69" s="9" t="s">
        <v>476</v>
      </c>
      <c r="H69" s="52"/>
    </row>
    <row r="70" spans="1:8" ht="15" customHeight="1" x14ac:dyDescent="0.25">
      <c r="A70" s="8" t="s">
        <v>129</v>
      </c>
      <c r="B70" s="8" t="s">
        <v>501</v>
      </c>
      <c r="C70" s="8" t="s">
        <v>502</v>
      </c>
      <c r="D70" s="8">
        <v>8</v>
      </c>
      <c r="E70" s="8">
        <v>9.83</v>
      </c>
      <c r="F70" s="8">
        <v>9.83</v>
      </c>
      <c r="G70" s="9" t="s">
        <v>476</v>
      </c>
      <c r="H70" s="52"/>
    </row>
    <row r="71" spans="1:8" ht="15" customHeight="1" x14ac:dyDescent="0.25">
      <c r="A71" s="8" t="s">
        <v>141</v>
      </c>
      <c r="B71" s="8" t="s">
        <v>503</v>
      </c>
      <c r="C71" s="8" t="s">
        <v>504</v>
      </c>
      <c r="D71" s="8">
        <v>5</v>
      </c>
      <c r="E71" s="8">
        <v>9.61</v>
      </c>
      <c r="F71" s="8">
        <v>9.61</v>
      </c>
      <c r="G71" s="9" t="s">
        <v>476</v>
      </c>
      <c r="H71" s="52"/>
    </row>
    <row r="72" spans="1:8" ht="15" customHeight="1" x14ac:dyDescent="0.25">
      <c r="A72" s="8" t="s">
        <v>142</v>
      </c>
      <c r="B72" s="8" t="s">
        <v>505</v>
      </c>
      <c r="C72" s="8" t="s">
        <v>504</v>
      </c>
      <c r="D72" s="8">
        <v>5</v>
      </c>
      <c r="E72" s="8">
        <v>9.61</v>
      </c>
      <c r="F72" s="8">
        <v>9.61</v>
      </c>
      <c r="G72" s="9" t="s">
        <v>476</v>
      </c>
      <c r="H72" s="52"/>
    </row>
    <row r="73" spans="1:8" ht="15" customHeight="1" x14ac:dyDescent="0.25">
      <c r="A73" s="8" t="s">
        <v>143</v>
      </c>
      <c r="B73" s="8" t="s">
        <v>506</v>
      </c>
      <c r="C73" s="8" t="s">
        <v>504</v>
      </c>
      <c r="D73" s="8">
        <v>5</v>
      </c>
      <c r="E73" s="8">
        <v>9.61</v>
      </c>
      <c r="F73" s="8">
        <v>9.61</v>
      </c>
      <c r="G73" s="9" t="s">
        <v>476</v>
      </c>
      <c r="H73" s="52"/>
    </row>
    <row r="74" spans="1:8" ht="15" customHeight="1" x14ac:dyDescent="0.25">
      <c r="A74" s="8" t="s">
        <v>144</v>
      </c>
      <c r="B74" s="8" t="s">
        <v>507</v>
      </c>
      <c r="C74" s="8" t="s">
        <v>504</v>
      </c>
      <c r="D74" s="8">
        <v>5</v>
      </c>
      <c r="E74" s="8">
        <v>9.61</v>
      </c>
      <c r="F74" s="8">
        <v>9.61</v>
      </c>
      <c r="G74" s="9" t="s">
        <v>476</v>
      </c>
      <c r="H74" s="52"/>
    </row>
    <row r="75" spans="1:8" ht="15" customHeight="1" x14ac:dyDescent="0.25">
      <c r="A75" s="8" t="s">
        <v>145</v>
      </c>
      <c r="B75" s="8" t="s">
        <v>508</v>
      </c>
      <c r="C75" s="8" t="s">
        <v>504</v>
      </c>
      <c r="D75" s="8">
        <v>5</v>
      </c>
      <c r="E75" s="8">
        <v>9.61</v>
      </c>
      <c r="F75" s="8">
        <v>9.61</v>
      </c>
      <c r="G75" s="9" t="s">
        <v>476</v>
      </c>
      <c r="H75" s="52"/>
    </row>
    <row r="76" spans="1:8" ht="15" customHeight="1" x14ac:dyDescent="0.25">
      <c r="A76" s="8" t="s">
        <v>155</v>
      </c>
      <c r="B76" s="8" t="s">
        <v>509</v>
      </c>
      <c r="C76" s="8" t="s">
        <v>504</v>
      </c>
      <c r="D76" s="8">
        <v>5</v>
      </c>
      <c r="E76" s="8">
        <v>9.61</v>
      </c>
      <c r="F76" s="8">
        <v>9.61</v>
      </c>
      <c r="G76" s="9" t="s">
        <v>476</v>
      </c>
      <c r="H76" s="52"/>
    </row>
    <row r="77" spans="1:8" ht="15" customHeight="1" x14ac:dyDescent="0.25">
      <c r="A77" s="8" t="s">
        <v>156</v>
      </c>
      <c r="B77" s="8" t="s">
        <v>510</v>
      </c>
      <c r="C77" s="8" t="s">
        <v>504</v>
      </c>
      <c r="D77" s="8">
        <v>5</v>
      </c>
      <c r="E77" s="8">
        <v>9.61</v>
      </c>
      <c r="F77" s="8">
        <v>9.61</v>
      </c>
      <c r="G77" s="9" t="s">
        <v>476</v>
      </c>
      <c r="H77" s="52"/>
    </row>
    <row r="78" spans="1:8" ht="15" customHeight="1" x14ac:dyDescent="0.25">
      <c r="A78" s="8" t="s">
        <v>52</v>
      </c>
      <c r="B78" s="8" t="s">
        <v>511</v>
      </c>
      <c r="C78" s="8" t="s">
        <v>504</v>
      </c>
      <c r="D78" s="8">
        <v>5</v>
      </c>
      <c r="E78" s="8">
        <v>9.61</v>
      </c>
      <c r="F78" s="8">
        <v>9.61</v>
      </c>
      <c r="G78" s="9" t="s">
        <v>476</v>
      </c>
      <c r="H78" s="52"/>
    </row>
    <row r="79" spans="1:8" ht="15" customHeight="1" x14ac:dyDescent="0.25">
      <c r="A79" s="8" t="s">
        <v>157</v>
      </c>
      <c r="B79" s="8" t="s">
        <v>512</v>
      </c>
      <c r="C79" s="8" t="s">
        <v>504</v>
      </c>
      <c r="D79" s="8">
        <v>5</v>
      </c>
      <c r="E79" s="8">
        <v>9.61</v>
      </c>
      <c r="F79" s="8">
        <v>9.61</v>
      </c>
      <c r="G79" s="9" t="s">
        <v>476</v>
      </c>
      <c r="H79" s="52"/>
    </row>
    <row r="80" spans="1:8" ht="15" customHeight="1" x14ac:dyDescent="0.25">
      <c r="A80" s="8" t="s">
        <v>163</v>
      </c>
      <c r="B80" s="8" t="s">
        <v>513</v>
      </c>
      <c r="C80" s="8" t="s">
        <v>504</v>
      </c>
      <c r="D80" s="8">
        <v>5</v>
      </c>
      <c r="E80" s="8">
        <v>9.61</v>
      </c>
      <c r="F80" s="8">
        <v>9.61</v>
      </c>
      <c r="G80" s="9" t="s">
        <v>476</v>
      </c>
      <c r="H80" s="52"/>
    </row>
    <row r="81" spans="1:8" ht="15" customHeight="1" x14ac:dyDescent="0.25">
      <c r="A81" s="8" t="s">
        <v>165</v>
      </c>
      <c r="B81" s="8" t="s">
        <v>514</v>
      </c>
      <c r="C81" s="8" t="s">
        <v>504</v>
      </c>
      <c r="D81" s="8">
        <v>5</v>
      </c>
      <c r="E81" s="8">
        <v>9.61</v>
      </c>
      <c r="F81" s="8">
        <v>9.61</v>
      </c>
      <c r="G81" s="9" t="s">
        <v>476</v>
      </c>
      <c r="H81" s="52"/>
    </row>
    <row r="82" spans="1:8" ht="15" customHeight="1" x14ac:dyDescent="0.25">
      <c r="A82" s="8" t="s">
        <v>53</v>
      </c>
      <c r="B82" s="8" t="s">
        <v>515</v>
      </c>
      <c r="C82" s="8" t="s">
        <v>504</v>
      </c>
      <c r="D82" s="8">
        <v>5</v>
      </c>
      <c r="E82" s="8">
        <v>9.61</v>
      </c>
      <c r="F82" s="8">
        <v>9.61</v>
      </c>
      <c r="G82" s="9" t="s">
        <v>476</v>
      </c>
      <c r="H82" s="52"/>
    </row>
    <row r="83" spans="1:8" ht="15" customHeight="1" x14ac:dyDescent="0.25">
      <c r="A83" s="8" t="s">
        <v>169</v>
      </c>
      <c r="B83" s="8" t="s">
        <v>516</v>
      </c>
      <c r="C83" s="8" t="s">
        <v>504</v>
      </c>
      <c r="D83" s="8">
        <v>5</v>
      </c>
      <c r="E83" s="8">
        <v>9.61</v>
      </c>
      <c r="F83" s="8">
        <v>9.61</v>
      </c>
      <c r="G83" s="9" t="s">
        <v>476</v>
      </c>
      <c r="H83" s="52"/>
    </row>
    <row r="84" spans="1:8" ht="15" customHeight="1" x14ac:dyDescent="0.25">
      <c r="A84" s="8" t="s">
        <v>131</v>
      </c>
      <c r="B84" s="8" t="s">
        <v>517</v>
      </c>
      <c r="C84" s="8" t="s">
        <v>518</v>
      </c>
      <c r="D84" s="8">
        <v>4</v>
      </c>
      <c r="E84" s="8">
        <v>7.29</v>
      </c>
      <c r="F84" s="8">
        <v>7.29</v>
      </c>
      <c r="G84" s="9" t="s">
        <v>476</v>
      </c>
      <c r="H84" s="52"/>
    </row>
    <row r="85" spans="1:8" ht="15" customHeight="1" x14ac:dyDescent="0.25">
      <c r="A85" s="8" t="s">
        <v>132</v>
      </c>
      <c r="B85" s="8" t="s">
        <v>519</v>
      </c>
      <c r="C85" s="8" t="s">
        <v>518</v>
      </c>
      <c r="D85" s="8">
        <v>4</v>
      </c>
      <c r="E85" s="8">
        <v>7.29</v>
      </c>
      <c r="F85" s="8">
        <v>7.29</v>
      </c>
      <c r="G85" s="9" t="s">
        <v>476</v>
      </c>
      <c r="H85" s="52"/>
    </row>
    <row r="86" spans="1:8" ht="15" customHeight="1" x14ac:dyDescent="0.25">
      <c r="A86" s="8" t="s">
        <v>133</v>
      </c>
      <c r="B86" s="8" t="s">
        <v>520</v>
      </c>
      <c r="C86" s="8" t="s">
        <v>518</v>
      </c>
      <c r="D86" s="8">
        <v>4</v>
      </c>
      <c r="E86" s="8">
        <v>7.29</v>
      </c>
      <c r="F86" s="8">
        <v>7.29</v>
      </c>
      <c r="G86" s="9" t="s">
        <v>476</v>
      </c>
      <c r="H86" s="52"/>
    </row>
    <row r="87" spans="1:8" ht="15" customHeight="1" x14ac:dyDescent="0.25">
      <c r="A87" s="8" t="s">
        <v>134</v>
      </c>
      <c r="B87" s="8" t="s">
        <v>521</v>
      </c>
      <c r="C87" s="8" t="s">
        <v>518</v>
      </c>
      <c r="D87" s="8">
        <v>4</v>
      </c>
      <c r="E87" s="8">
        <v>7.29</v>
      </c>
      <c r="F87" s="8">
        <v>7.29</v>
      </c>
      <c r="G87" s="9" t="s">
        <v>476</v>
      </c>
      <c r="H87" s="52"/>
    </row>
    <row r="88" spans="1:8" ht="15" customHeight="1" x14ac:dyDescent="0.25">
      <c r="A88" s="8" t="s">
        <v>135</v>
      </c>
      <c r="B88" s="8" t="s">
        <v>522</v>
      </c>
      <c r="C88" s="8" t="s">
        <v>518</v>
      </c>
      <c r="D88" s="8">
        <v>4</v>
      </c>
      <c r="E88" s="8">
        <v>7.29</v>
      </c>
      <c r="F88" s="8">
        <v>7.29</v>
      </c>
      <c r="G88" s="9" t="s">
        <v>476</v>
      </c>
      <c r="H88" s="52"/>
    </row>
    <row r="89" spans="1:8" ht="15" customHeight="1" x14ac:dyDescent="0.25">
      <c r="A89" s="8" t="s">
        <v>136</v>
      </c>
      <c r="B89" s="8" t="s">
        <v>523</v>
      </c>
      <c r="C89" s="8" t="s">
        <v>518</v>
      </c>
      <c r="D89" s="8">
        <v>4</v>
      </c>
      <c r="E89" s="8">
        <v>7.29</v>
      </c>
      <c r="F89" s="8">
        <v>7.29</v>
      </c>
      <c r="G89" s="9" t="s">
        <v>476</v>
      </c>
      <c r="H89" s="52"/>
    </row>
    <row r="90" spans="1:8" ht="15" customHeight="1" x14ac:dyDescent="0.25">
      <c r="A90" s="8" t="s">
        <v>137</v>
      </c>
      <c r="B90" s="8" t="s">
        <v>524</v>
      </c>
      <c r="C90" s="8" t="s">
        <v>518</v>
      </c>
      <c r="D90" s="8">
        <v>4</v>
      </c>
      <c r="E90" s="8">
        <v>7.29</v>
      </c>
      <c r="F90" s="8">
        <v>7.29</v>
      </c>
      <c r="G90" s="9" t="s">
        <v>476</v>
      </c>
      <c r="H90" s="52"/>
    </row>
    <row r="91" spans="1:8" ht="15" customHeight="1" x14ac:dyDescent="0.25">
      <c r="A91" s="8" t="s">
        <v>138</v>
      </c>
      <c r="B91" s="8" t="s">
        <v>525</v>
      </c>
      <c r="C91" s="8" t="s">
        <v>518</v>
      </c>
      <c r="D91" s="8">
        <v>4</v>
      </c>
      <c r="E91" s="8">
        <v>7.29</v>
      </c>
      <c r="F91" s="8">
        <v>7.29</v>
      </c>
      <c r="G91" s="9" t="s">
        <v>476</v>
      </c>
      <c r="H91" s="52"/>
    </row>
    <row r="92" spans="1:8" ht="15" customHeight="1" x14ac:dyDescent="0.25">
      <c r="A92" s="8" t="s">
        <v>51</v>
      </c>
      <c r="B92" s="8" t="s">
        <v>526</v>
      </c>
      <c r="C92" s="8" t="s">
        <v>518</v>
      </c>
      <c r="D92" s="8">
        <v>4</v>
      </c>
      <c r="E92" s="8">
        <v>7.29</v>
      </c>
      <c r="F92" s="8">
        <v>7.29</v>
      </c>
      <c r="G92" s="9" t="s">
        <v>476</v>
      </c>
      <c r="H92" s="52"/>
    </row>
    <row r="93" spans="1:8" ht="15" customHeight="1" x14ac:dyDescent="0.25">
      <c r="A93" s="8" t="s">
        <v>161</v>
      </c>
      <c r="B93" s="8" t="s">
        <v>527</v>
      </c>
      <c r="C93" s="8" t="s">
        <v>518</v>
      </c>
      <c r="D93" s="8">
        <v>4</v>
      </c>
      <c r="E93" s="8">
        <v>7.29</v>
      </c>
      <c r="F93" s="8">
        <v>7.29</v>
      </c>
      <c r="G93" s="9" t="s">
        <v>476</v>
      </c>
      <c r="H93" s="52"/>
    </row>
    <row r="94" spans="1:8" ht="15" customHeight="1" x14ac:dyDescent="0.25">
      <c r="A94" s="8" t="s">
        <v>162</v>
      </c>
      <c r="B94" s="8" t="s">
        <v>528</v>
      </c>
      <c r="C94" s="8" t="s">
        <v>518</v>
      </c>
      <c r="D94" s="8">
        <v>4</v>
      </c>
      <c r="E94" s="8">
        <v>7.29</v>
      </c>
      <c r="F94" s="8">
        <v>7.29</v>
      </c>
      <c r="G94" s="9" t="s">
        <v>476</v>
      </c>
      <c r="H94" s="52"/>
    </row>
    <row r="95" spans="1:8" ht="15" customHeight="1" x14ac:dyDescent="0.25">
      <c r="A95" s="8" t="s">
        <v>167</v>
      </c>
      <c r="B95" s="8" t="s">
        <v>529</v>
      </c>
      <c r="C95" s="8" t="s">
        <v>518</v>
      </c>
      <c r="D95" s="8">
        <v>4</v>
      </c>
      <c r="E95" s="8">
        <v>7.29</v>
      </c>
      <c r="F95" s="8">
        <v>7.29</v>
      </c>
      <c r="G95" s="9" t="s">
        <v>476</v>
      </c>
      <c r="H95" s="52"/>
    </row>
    <row r="96" spans="1:8" ht="15" customHeight="1" x14ac:dyDescent="0.25">
      <c r="A96" s="8" t="s">
        <v>168</v>
      </c>
      <c r="B96" s="8" t="s">
        <v>530</v>
      </c>
      <c r="C96" s="8" t="s">
        <v>518</v>
      </c>
      <c r="D96" s="8">
        <v>4</v>
      </c>
      <c r="E96" s="8">
        <v>7.29</v>
      </c>
      <c r="F96" s="8">
        <v>7.29</v>
      </c>
      <c r="G96" s="9" t="s">
        <v>476</v>
      </c>
      <c r="H96" s="52"/>
    </row>
    <row r="97" spans="1:8" ht="15" customHeight="1" x14ac:dyDescent="0.25">
      <c r="A97" s="8" t="s">
        <v>139</v>
      </c>
      <c r="B97" s="8" t="s">
        <v>531</v>
      </c>
      <c r="C97" s="8" t="s">
        <v>532</v>
      </c>
      <c r="D97" s="8">
        <v>4</v>
      </c>
      <c r="E97" s="8">
        <v>6.41</v>
      </c>
      <c r="F97" s="8">
        <v>6.41</v>
      </c>
      <c r="G97" s="9" t="s">
        <v>476</v>
      </c>
      <c r="H97" s="52"/>
    </row>
    <row r="98" spans="1:8" ht="15" customHeight="1" x14ac:dyDescent="0.25">
      <c r="A98" s="8" t="s">
        <v>140</v>
      </c>
      <c r="B98" s="8" t="s">
        <v>533</v>
      </c>
      <c r="C98" s="8" t="s">
        <v>532</v>
      </c>
      <c r="D98" s="8">
        <v>4</v>
      </c>
      <c r="E98" s="8">
        <v>6.41</v>
      </c>
      <c r="F98" s="8">
        <v>6.41</v>
      </c>
      <c r="G98" s="9" t="s">
        <v>476</v>
      </c>
      <c r="H98" s="52"/>
    </row>
    <row r="99" spans="1:8" ht="15" customHeight="1" x14ac:dyDescent="0.25">
      <c r="A99" s="8" t="s">
        <v>154</v>
      </c>
      <c r="B99" s="8" t="s">
        <v>534</v>
      </c>
      <c r="C99" s="8" t="s">
        <v>532</v>
      </c>
      <c r="D99" s="8">
        <v>4</v>
      </c>
      <c r="E99" s="8">
        <v>6.41</v>
      </c>
      <c r="F99" s="8">
        <v>6.41</v>
      </c>
      <c r="G99" s="9" t="s">
        <v>476</v>
      </c>
      <c r="H99" s="52"/>
    </row>
    <row r="100" spans="1:8" ht="15" customHeight="1" x14ac:dyDescent="0.25">
      <c r="A100" s="8" t="s">
        <v>55</v>
      </c>
      <c r="B100" s="8" t="s">
        <v>535</v>
      </c>
      <c r="C100" s="8" t="s">
        <v>536</v>
      </c>
      <c r="D100" s="8">
        <v>8</v>
      </c>
      <c r="E100" s="8">
        <v>26.46</v>
      </c>
      <c r="F100" s="8">
        <v>26.46</v>
      </c>
      <c r="G100" s="10" t="s">
        <v>537</v>
      </c>
      <c r="H100" s="52"/>
    </row>
    <row r="101" spans="1:8" ht="15" customHeight="1" x14ac:dyDescent="0.25">
      <c r="A101" s="8" t="s">
        <v>175</v>
      </c>
      <c r="B101" s="8" t="s">
        <v>538</v>
      </c>
      <c r="C101" s="8" t="s">
        <v>536</v>
      </c>
      <c r="D101" s="8">
        <v>8</v>
      </c>
      <c r="E101" s="8">
        <v>26.46</v>
      </c>
      <c r="F101" s="8">
        <v>26.46</v>
      </c>
      <c r="G101" s="10" t="s">
        <v>537</v>
      </c>
      <c r="H101" s="52"/>
    </row>
    <row r="102" spans="1:8" ht="15" customHeight="1" x14ac:dyDescent="0.25">
      <c r="A102" s="8" t="s">
        <v>181</v>
      </c>
      <c r="B102" s="8" t="s">
        <v>539</v>
      </c>
      <c r="C102" s="8" t="s">
        <v>536</v>
      </c>
      <c r="D102" s="8">
        <v>8</v>
      </c>
      <c r="E102" s="8">
        <v>26.46</v>
      </c>
      <c r="F102" s="8">
        <v>26.46</v>
      </c>
      <c r="G102" s="10" t="s">
        <v>537</v>
      </c>
      <c r="H102" s="52"/>
    </row>
    <row r="103" spans="1:8" ht="15" customHeight="1" x14ac:dyDescent="0.25">
      <c r="A103" s="8" t="s">
        <v>182</v>
      </c>
      <c r="B103" s="8" t="s">
        <v>540</v>
      </c>
      <c r="C103" s="8" t="s">
        <v>536</v>
      </c>
      <c r="D103" s="8">
        <v>8</v>
      </c>
      <c r="E103" s="8">
        <v>26.46</v>
      </c>
      <c r="F103" s="8">
        <v>26.46</v>
      </c>
      <c r="G103" s="10" t="s">
        <v>537</v>
      </c>
      <c r="H103" s="52"/>
    </row>
    <row r="104" spans="1:8" ht="15" customHeight="1" x14ac:dyDescent="0.25">
      <c r="A104" s="8" t="s">
        <v>172</v>
      </c>
      <c r="B104" s="8" t="s">
        <v>541</v>
      </c>
      <c r="C104" s="8" t="s">
        <v>542</v>
      </c>
      <c r="D104" s="8">
        <v>7</v>
      </c>
      <c r="E104" s="8">
        <v>23.52</v>
      </c>
      <c r="F104" s="8">
        <v>23.52</v>
      </c>
      <c r="G104" s="10" t="s">
        <v>537</v>
      </c>
      <c r="H104" s="52"/>
    </row>
    <row r="105" spans="1:8" ht="15" customHeight="1" x14ac:dyDescent="0.25">
      <c r="A105" s="8" t="s">
        <v>174</v>
      </c>
      <c r="B105" s="8" t="s">
        <v>543</v>
      </c>
      <c r="C105" s="8" t="s">
        <v>542</v>
      </c>
      <c r="D105" s="8">
        <v>7</v>
      </c>
      <c r="E105" s="8">
        <v>23.52</v>
      </c>
      <c r="F105" s="8">
        <v>23.52</v>
      </c>
      <c r="G105" s="10" t="s">
        <v>537</v>
      </c>
      <c r="H105" s="52"/>
    </row>
    <row r="106" spans="1:8" ht="15" customHeight="1" x14ac:dyDescent="0.25">
      <c r="A106" s="8" t="s">
        <v>54</v>
      </c>
      <c r="B106" s="8" t="s">
        <v>544</v>
      </c>
      <c r="C106" s="8" t="s">
        <v>542</v>
      </c>
      <c r="D106" s="8">
        <v>7</v>
      </c>
      <c r="E106" s="8">
        <v>23.52</v>
      </c>
      <c r="F106" s="8">
        <v>23.52</v>
      </c>
      <c r="G106" s="10" t="s">
        <v>537</v>
      </c>
      <c r="H106" s="52"/>
    </row>
    <row r="107" spans="1:8" ht="15" customHeight="1" x14ac:dyDescent="0.25">
      <c r="A107" s="8" t="s">
        <v>62</v>
      </c>
      <c r="B107" s="8" t="s">
        <v>545</v>
      </c>
      <c r="C107" s="8" t="s">
        <v>542</v>
      </c>
      <c r="D107" s="8">
        <v>7</v>
      </c>
      <c r="E107" s="8">
        <v>23.52</v>
      </c>
      <c r="F107" s="8">
        <v>23.52</v>
      </c>
      <c r="G107" s="10" t="s">
        <v>537</v>
      </c>
      <c r="H107" s="52"/>
    </row>
    <row r="108" spans="1:8" ht="15" customHeight="1" x14ac:dyDescent="0.25">
      <c r="A108" s="8" t="s">
        <v>59</v>
      </c>
      <c r="B108" s="8" t="s">
        <v>546</v>
      </c>
      <c r="C108" s="8" t="s">
        <v>542</v>
      </c>
      <c r="D108" s="8">
        <v>7</v>
      </c>
      <c r="E108" s="8">
        <v>23.52</v>
      </c>
      <c r="F108" s="8">
        <v>23.52</v>
      </c>
      <c r="G108" s="10" t="s">
        <v>537</v>
      </c>
      <c r="H108" s="52"/>
    </row>
    <row r="109" spans="1:8" ht="15" customHeight="1" x14ac:dyDescent="0.25">
      <c r="A109" s="8" t="s">
        <v>176</v>
      </c>
      <c r="B109" s="8" t="s">
        <v>547</v>
      </c>
      <c r="C109" s="8" t="s">
        <v>542</v>
      </c>
      <c r="D109" s="8">
        <v>7</v>
      </c>
      <c r="E109" s="8">
        <v>23.52</v>
      </c>
      <c r="F109" s="8">
        <v>23.52</v>
      </c>
      <c r="G109" s="10" t="s">
        <v>537</v>
      </c>
      <c r="H109" s="52"/>
    </row>
    <row r="110" spans="1:8" ht="15" customHeight="1" x14ac:dyDescent="0.25">
      <c r="A110" s="8" t="s">
        <v>177</v>
      </c>
      <c r="B110" s="8" t="s">
        <v>548</v>
      </c>
      <c r="C110" s="8" t="s">
        <v>542</v>
      </c>
      <c r="D110" s="8">
        <v>7</v>
      </c>
      <c r="E110" s="8">
        <v>23.52</v>
      </c>
      <c r="F110" s="8">
        <v>23.52</v>
      </c>
      <c r="G110" s="10" t="s">
        <v>537</v>
      </c>
      <c r="H110" s="52"/>
    </row>
    <row r="111" spans="1:8" ht="15" customHeight="1" x14ac:dyDescent="0.25">
      <c r="A111" s="8" t="s">
        <v>178</v>
      </c>
      <c r="B111" s="8" t="s">
        <v>549</v>
      </c>
      <c r="C111" s="8" t="s">
        <v>542</v>
      </c>
      <c r="D111" s="8">
        <v>7</v>
      </c>
      <c r="E111" s="8">
        <v>23.52</v>
      </c>
      <c r="F111" s="8">
        <v>23.52</v>
      </c>
      <c r="G111" s="10" t="s">
        <v>537</v>
      </c>
      <c r="H111" s="52"/>
    </row>
    <row r="112" spans="1:8" ht="15" customHeight="1" x14ac:dyDescent="0.25">
      <c r="A112" s="8" t="s">
        <v>179</v>
      </c>
      <c r="B112" s="8" t="s">
        <v>550</v>
      </c>
      <c r="C112" s="8" t="s">
        <v>542</v>
      </c>
      <c r="D112" s="8">
        <v>7</v>
      </c>
      <c r="E112" s="8">
        <v>23.52</v>
      </c>
      <c r="F112" s="8">
        <v>23.52</v>
      </c>
      <c r="G112" s="10" t="s">
        <v>537</v>
      </c>
      <c r="H112" s="52"/>
    </row>
    <row r="113" spans="1:8" ht="15" customHeight="1" x14ac:dyDescent="0.25">
      <c r="A113" s="8" t="s">
        <v>61</v>
      </c>
      <c r="B113" s="8" t="s">
        <v>551</v>
      </c>
      <c r="C113" s="8" t="s">
        <v>542</v>
      </c>
      <c r="D113" s="8">
        <v>7</v>
      </c>
      <c r="E113" s="8">
        <v>23.52</v>
      </c>
      <c r="F113" s="8">
        <v>23.52</v>
      </c>
      <c r="G113" s="10" t="s">
        <v>537</v>
      </c>
      <c r="H113" s="52"/>
    </row>
    <row r="114" spans="1:8" ht="15" customHeight="1" x14ac:dyDescent="0.25">
      <c r="A114" s="8" t="s">
        <v>180</v>
      </c>
      <c r="B114" s="8" t="s">
        <v>552</v>
      </c>
      <c r="C114" s="8" t="s">
        <v>542</v>
      </c>
      <c r="D114" s="8">
        <v>7</v>
      </c>
      <c r="E114" s="8">
        <v>23.52</v>
      </c>
      <c r="F114" s="8">
        <v>23.52</v>
      </c>
      <c r="G114" s="10" t="s">
        <v>537</v>
      </c>
      <c r="H114" s="52"/>
    </row>
    <row r="115" spans="1:8" ht="15" customHeight="1" x14ac:dyDescent="0.25">
      <c r="A115" s="8" t="s">
        <v>183</v>
      </c>
      <c r="B115" s="8" t="s">
        <v>553</v>
      </c>
      <c r="C115" s="8" t="s">
        <v>542</v>
      </c>
      <c r="D115" s="8">
        <v>7</v>
      </c>
      <c r="E115" s="8">
        <v>23.52</v>
      </c>
      <c r="F115" s="8">
        <v>23.52</v>
      </c>
      <c r="G115" s="10" t="s">
        <v>537</v>
      </c>
      <c r="H115" s="52"/>
    </row>
    <row r="116" spans="1:8" ht="15" customHeight="1" x14ac:dyDescent="0.25">
      <c r="A116" s="8" t="s">
        <v>184</v>
      </c>
      <c r="B116" s="8" t="s">
        <v>554</v>
      </c>
      <c r="C116" s="8" t="s">
        <v>542</v>
      </c>
      <c r="D116" s="8">
        <v>7</v>
      </c>
      <c r="E116" s="8">
        <v>23.52</v>
      </c>
      <c r="F116" s="8">
        <v>23.52</v>
      </c>
      <c r="G116" s="10" t="s">
        <v>537</v>
      </c>
      <c r="H116" s="52"/>
    </row>
    <row r="117" spans="1:8" ht="15" customHeight="1" x14ac:dyDescent="0.25">
      <c r="A117" s="8" t="s">
        <v>185</v>
      </c>
      <c r="B117" s="8" t="s">
        <v>555</v>
      </c>
      <c r="C117" s="8" t="s">
        <v>542</v>
      </c>
      <c r="D117" s="8">
        <v>7</v>
      </c>
      <c r="E117" s="8">
        <v>23.52</v>
      </c>
      <c r="F117" s="8">
        <v>23.52</v>
      </c>
      <c r="G117" s="10" t="s">
        <v>537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556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557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2026-09-14T15:46:26Z</dcterms:modified>
  <dc:language>en-US</dc:language>
</cp:coreProperties>
</file>