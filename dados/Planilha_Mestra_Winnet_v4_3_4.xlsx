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cro\Desktop\amazon\"/>
    </mc:Choice>
  </mc:AlternateContent>
  <bookViews>
    <workbookView xWindow="0" yWindow="0" windowWidth="20490" windowHeight="7755" tabRatio="500" activeTab="3"/>
  </bookViews>
  <sheets>
    <sheet name="LEIA-ME" sheetId="1" r:id="rId1"/>
    <sheet name="Resumo" sheetId="2" r:id="rId2"/>
    <sheet name="Simulador" sheetId="3" r:id="rId3"/>
    <sheet name="Registro_Vendas" sheetId="4" r:id="rId4"/>
    <sheet name="Livro_Vendas" sheetId="5" r:id="rId5"/>
    <sheet name="Novo_Produto" sheetId="6" r:id="rId6"/>
    <sheet name="Ref_Frete" sheetId="7" r:id="rId7"/>
    <sheet name="Classificação_Frete" sheetId="8" r:id="rId8"/>
    <sheet name="Listas" sheetId="9" state="hidden" r:id="rId9"/>
  </sheets>
  <definedNames>
    <definedName name="_xlnm._FilterDatabase" localSheetId="2" hidden="1">Simulador!$A$6:$P$232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6" l="1"/>
  <c r="G25" i="6" s="1"/>
  <c r="H25" i="6" s="1"/>
  <c r="L25" i="6" s="1"/>
  <c r="F24" i="6"/>
  <c r="G24" i="6" s="1"/>
  <c r="H24" i="6" s="1"/>
  <c r="L24" i="6" s="1"/>
  <c r="F23" i="6"/>
  <c r="G23" i="6" s="1"/>
  <c r="H23" i="6" s="1"/>
  <c r="L23" i="6" s="1"/>
  <c r="F22" i="6"/>
  <c r="G22" i="6" s="1"/>
  <c r="H22" i="6" s="1"/>
  <c r="L22" i="6" s="1"/>
  <c r="F21" i="6"/>
  <c r="G21" i="6" s="1"/>
  <c r="H21" i="6" s="1"/>
  <c r="L21" i="6" s="1"/>
  <c r="F20" i="6"/>
  <c r="G20" i="6" s="1"/>
  <c r="H20" i="6" s="1"/>
  <c r="L20" i="6" s="1"/>
  <c r="F19" i="6"/>
  <c r="G19" i="6" s="1"/>
  <c r="H19" i="6" s="1"/>
  <c r="L19" i="6" s="1"/>
  <c r="H18" i="6"/>
  <c r="H17" i="6"/>
  <c r="H16" i="6"/>
  <c r="H15" i="6"/>
  <c r="H14" i="6"/>
  <c r="H13" i="6"/>
  <c r="H12" i="6"/>
  <c r="H11" i="6"/>
  <c r="H10" i="6"/>
  <c r="H9" i="6"/>
  <c r="H8" i="6"/>
  <c r="H7" i="6"/>
  <c r="F6" i="6"/>
  <c r="G6" i="6" s="1"/>
  <c r="H6" i="6" s="1"/>
  <c r="L6" i="6" s="1"/>
  <c r="L107" i="4"/>
  <c r="H107" i="4"/>
  <c r="I107" i="4" s="1"/>
  <c r="G107" i="4"/>
  <c r="N107" i="4" s="1"/>
  <c r="O107" i="4" s="1"/>
  <c r="P107" i="4" s="1"/>
  <c r="E107" i="4"/>
  <c r="M106" i="4"/>
  <c r="L106" i="4"/>
  <c r="H106" i="4"/>
  <c r="I106" i="4" s="1"/>
  <c r="G106" i="4"/>
  <c r="K106" i="4" s="1"/>
  <c r="E106" i="4"/>
  <c r="O105" i="4"/>
  <c r="P105" i="4" s="1"/>
  <c r="L105" i="4"/>
  <c r="K105" i="4"/>
  <c r="H105" i="4"/>
  <c r="I105" i="4" s="1"/>
  <c r="G105" i="4"/>
  <c r="N105" i="4" s="1"/>
  <c r="E105" i="4"/>
  <c r="M104" i="4"/>
  <c r="L104" i="4"/>
  <c r="H104" i="4"/>
  <c r="I104" i="4" s="1"/>
  <c r="G104" i="4"/>
  <c r="K104" i="4" s="1"/>
  <c r="E104" i="4"/>
  <c r="L103" i="4"/>
  <c r="K103" i="4"/>
  <c r="H103" i="4"/>
  <c r="I103" i="4" s="1"/>
  <c r="G103" i="4"/>
  <c r="N103" i="4" s="1"/>
  <c r="O103" i="4" s="1"/>
  <c r="P103" i="4" s="1"/>
  <c r="E103" i="4"/>
  <c r="M102" i="4"/>
  <c r="L102" i="4"/>
  <c r="H102" i="4"/>
  <c r="I102" i="4" s="1"/>
  <c r="G102" i="4"/>
  <c r="K102" i="4" s="1"/>
  <c r="E102" i="4"/>
  <c r="L101" i="4"/>
  <c r="H101" i="4"/>
  <c r="I101" i="4" s="1"/>
  <c r="G101" i="4"/>
  <c r="N101" i="4" s="1"/>
  <c r="O101" i="4" s="1"/>
  <c r="P101" i="4" s="1"/>
  <c r="E101" i="4"/>
  <c r="M100" i="4"/>
  <c r="L100" i="4"/>
  <c r="H100" i="4"/>
  <c r="I100" i="4" s="1"/>
  <c r="G100" i="4"/>
  <c r="K100" i="4" s="1"/>
  <c r="E100" i="4"/>
  <c r="L99" i="4"/>
  <c r="K99" i="4"/>
  <c r="H99" i="4"/>
  <c r="I99" i="4" s="1"/>
  <c r="G99" i="4"/>
  <c r="N99" i="4" s="1"/>
  <c r="O99" i="4" s="1"/>
  <c r="P99" i="4" s="1"/>
  <c r="E99" i="4"/>
  <c r="L98" i="4"/>
  <c r="H98" i="4"/>
  <c r="I98" i="4" s="1"/>
  <c r="G98" i="4"/>
  <c r="K98" i="4" s="1"/>
  <c r="E98" i="4"/>
  <c r="L97" i="4"/>
  <c r="K97" i="4"/>
  <c r="I97" i="4"/>
  <c r="H97" i="4"/>
  <c r="G97" i="4"/>
  <c r="N97" i="4" s="1"/>
  <c r="O97" i="4" s="1"/>
  <c r="P97" i="4" s="1"/>
  <c r="E97" i="4"/>
  <c r="M96" i="4"/>
  <c r="L96" i="4"/>
  <c r="H96" i="4"/>
  <c r="I96" i="4" s="1"/>
  <c r="G96" i="4"/>
  <c r="K96" i="4" s="1"/>
  <c r="E96" i="4"/>
  <c r="L95" i="4"/>
  <c r="K95" i="4"/>
  <c r="H95" i="4"/>
  <c r="I95" i="4" s="1"/>
  <c r="G95" i="4"/>
  <c r="M95" i="4" s="1"/>
  <c r="E95" i="4"/>
  <c r="L94" i="4"/>
  <c r="H94" i="4"/>
  <c r="I94" i="4" s="1"/>
  <c r="G94" i="4"/>
  <c r="K94" i="4" s="1"/>
  <c r="E94" i="4"/>
  <c r="L93" i="4"/>
  <c r="H93" i="4"/>
  <c r="I93" i="4" s="1"/>
  <c r="G93" i="4"/>
  <c r="M93" i="4" s="1"/>
  <c r="E93" i="4"/>
  <c r="M92" i="4"/>
  <c r="L92" i="4"/>
  <c r="H92" i="4"/>
  <c r="I92" i="4" s="1"/>
  <c r="G92" i="4"/>
  <c r="K92" i="4" s="1"/>
  <c r="E92" i="4"/>
  <c r="N91" i="4"/>
  <c r="O91" i="4" s="1"/>
  <c r="P91" i="4" s="1"/>
  <c r="L91" i="4"/>
  <c r="K91" i="4"/>
  <c r="H91" i="4"/>
  <c r="I91" i="4" s="1"/>
  <c r="G91" i="4"/>
  <c r="M91" i="4" s="1"/>
  <c r="E91" i="4"/>
  <c r="M90" i="4"/>
  <c r="L90" i="4"/>
  <c r="H90" i="4"/>
  <c r="I90" i="4" s="1"/>
  <c r="G90" i="4"/>
  <c r="K90" i="4" s="1"/>
  <c r="E90" i="4"/>
  <c r="L89" i="4"/>
  <c r="K89" i="4"/>
  <c r="I89" i="4"/>
  <c r="H89" i="4"/>
  <c r="G89" i="4"/>
  <c r="M89" i="4" s="1"/>
  <c r="E89" i="4"/>
  <c r="M88" i="4"/>
  <c r="L88" i="4"/>
  <c r="H88" i="4"/>
  <c r="I88" i="4" s="1"/>
  <c r="G88" i="4"/>
  <c r="K88" i="4" s="1"/>
  <c r="E88" i="4"/>
  <c r="L87" i="4"/>
  <c r="K87" i="4"/>
  <c r="H87" i="4"/>
  <c r="I87" i="4" s="1"/>
  <c r="G87" i="4"/>
  <c r="M87" i="4" s="1"/>
  <c r="E87" i="4"/>
  <c r="L86" i="4"/>
  <c r="H86" i="4"/>
  <c r="I86" i="4" s="1"/>
  <c r="G86" i="4"/>
  <c r="K86" i="4" s="1"/>
  <c r="E86" i="4"/>
  <c r="L85" i="4"/>
  <c r="H85" i="4"/>
  <c r="I85" i="4" s="1"/>
  <c r="G85" i="4"/>
  <c r="M85" i="4" s="1"/>
  <c r="E85" i="4"/>
  <c r="M84" i="4"/>
  <c r="L84" i="4"/>
  <c r="H84" i="4"/>
  <c r="I84" i="4" s="1"/>
  <c r="G84" i="4"/>
  <c r="K84" i="4" s="1"/>
  <c r="E84" i="4"/>
  <c r="N83" i="4"/>
  <c r="O83" i="4" s="1"/>
  <c r="P83" i="4" s="1"/>
  <c r="L83" i="4"/>
  <c r="K83" i="4"/>
  <c r="H83" i="4"/>
  <c r="I83" i="4" s="1"/>
  <c r="G83" i="4"/>
  <c r="M83" i="4" s="1"/>
  <c r="E83" i="4"/>
  <c r="L82" i="4"/>
  <c r="H82" i="4"/>
  <c r="I82" i="4" s="1"/>
  <c r="G82" i="4"/>
  <c r="E82" i="4"/>
  <c r="L81" i="4"/>
  <c r="H81" i="4"/>
  <c r="I81" i="4" s="1"/>
  <c r="G81" i="4"/>
  <c r="M81" i="4" s="1"/>
  <c r="E81" i="4"/>
  <c r="M80" i="4"/>
  <c r="L80" i="4"/>
  <c r="H80" i="4"/>
  <c r="I80" i="4" s="1"/>
  <c r="G80" i="4"/>
  <c r="E80" i="4"/>
  <c r="N79" i="4"/>
  <c r="O79" i="4" s="1"/>
  <c r="P79" i="4" s="1"/>
  <c r="L79" i="4"/>
  <c r="K79" i="4"/>
  <c r="H79" i="4"/>
  <c r="I79" i="4" s="1"/>
  <c r="G79" i="4"/>
  <c r="M79" i="4" s="1"/>
  <c r="E79" i="4"/>
  <c r="L78" i="4"/>
  <c r="H78" i="4"/>
  <c r="I78" i="4" s="1"/>
  <c r="G78" i="4"/>
  <c r="E78" i="4"/>
  <c r="L77" i="4"/>
  <c r="H77" i="4"/>
  <c r="I77" i="4" s="1"/>
  <c r="G77" i="4"/>
  <c r="M77" i="4" s="1"/>
  <c r="E77" i="4"/>
  <c r="M76" i="4"/>
  <c r="L76" i="4"/>
  <c r="H76" i="4"/>
  <c r="I76" i="4" s="1"/>
  <c r="G76" i="4"/>
  <c r="E76" i="4"/>
  <c r="L75" i="4"/>
  <c r="H75" i="4"/>
  <c r="I75" i="4" s="1"/>
  <c r="E75" i="4"/>
  <c r="G75" i="4" s="1"/>
  <c r="M75" i="4" s="1"/>
  <c r="L74" i="4"/>
  <c r="H74" i="4"/>
  <c r="I74" i="4" s="1"/>
  <c r="G74" i="4"/>
  <c r="E74" i="4"/>
  <c r="L73" i="4"/>
  <c r="H73" i="4"/>
  <c r="I73" i="4" s="1"/>
  <c r="G73" i="4"/>
  <c r="M73" i="4" s="1"/>
  <c r="E73" i="4"/>
  <c r="L72" i="4"/>
  <c r="H72" i="4"/>
  <c r="I72" i="4" s="1"/>
  <c r="G72" i="4"/>
  <c r="M72" i="4" s="1"/>
  <c r="E72" i="4"/>
  <c r="L71" i="4"/>
  <c r="H71" i="4"/>
  <c r="I71" i="4" s="1"/>
  <c r="G71" i="4"/>
  <c r="M71" i="4" s="1"/>
  <c r="E71" i="4"/>
  <c r="L70" i="4"/>
  <c r="H70" i="4"/>
  <c r="I70" i="4" s="1"/>
  <c r="G70" i="4"/>
  <c r="E70" i="4"/>
  <c r="L69" i="4"/>
  <c r="H69" i="4"/>
  <c r="I69" i="4" s="1"/>
  <c r="G69" i="4"/>
  <c r="M69" i="4" s="1"/>
  <c r="E69" i="4"/>
  <c r="L68" i="4"/>
  <c r="H68" i="4"/>
  <c r="I68" i="4" s="1"/>
  <c r="G68" i="4"/>
  <c r="E68" i="4"/>
  <c r="L67" i="4"/>
  <c r="H67" i="4"/>
  <c r="I67" i="4" s="1"/>
  <c r="G67" i="4"/>
  <c r="E67" i="4"/>
  <c r="L66" i="4"/>
  <c r="H66" i="4"/>
  <c r="I66" i="4" s="1"/>
  <c r="G66" i="4"/>
  <c r="M66" i="4" s="1"/>
  <c r="E66" i="4"/>
  <c r="L65" i="4"/>
  <c r="H65" i="4"/>
  <c r="I65" i="4" s="1"/>
  <c r="E65" i="4"/>
  <c r="G65" i="4" s="1"/>
  <c r="M65" i="4" s="1"/>
  <c r="L64" i="4"/>
  <c r="H64" i="4"/>
  <c r="I64" i="4" s="1"/>
  <c r="E64" i="4"/>
  <c r="G64" i="4" s="1"/>
  <c r="L63" i="4"/>
  <c r="H63" i="4"/>
  <c r="I63" i="4" s="1"/>
  <c r="E63" i="4"/>
  <c r="G63" i="4" s="1"/>
  <c r="M63" i="4" s="1"/>
  <c r="L62" i="4"/>
  <c r="H62" i="4"/>
  <c r="I62" i="4" s="1"/>
  <c r="E62" i="4"/>
  <c r="G62" i="4" s="1"/>
  <c r="L61" i="4"/>
  <c r="H61" i="4"/>
  <c r="I61" i="4" s="1"/>
  <c r="E61" i="4"/>
  <c r="G61" i="4" s="1"/>
  <c r="L60" i="4"/>
  <c r="H60" i="4"/>
  <c r="I60" i="4" s="1"/>
  <c r="E60" i="4"/>
  <c r="G60" i="4" s="1"/>
  <c r="L59" i="4"/>
  <c r="H59" i="4"/>
  <c r="I59" i="4" s="1"/>
  <c r="E59" i="4"/>
  <c r="G59" i="4" s="1"/>
  <c r="L58" i="4"/>
  <c r="H58" i="4"/>
  <c r="I58" i="4" s="1"/>
  <c r="E58" i="4"/>
  <c r="G58" i="4" s="1"/>
  <c r="L57" i="4"/>
  <c r="H57" i="4"/>
  <c r="I57" i="4" s="1"/>
  <c r="E57" i="4"/>
  <c r="G57" i="4" s="1"/>
  <c r="L56" i="4"/>
  <c r="H56" i="4"/>
  <c r="I56" i="4" s="1"/>
  <c r="E56" i="4"/>
  <c r="G56" i="4" s="1"/>
  <c r="L55" i="4"/>
  <c r="H55" i="4"/>
  <c r="I55" i="4" s="1"/>
  <c r="E55" i="4"/>
  <c r="G55" i="4" s="1"/>
  <c r="L54" i="4"/>
  <c r="H54" i="4"/>
  <c r="I54" i="4" s="1"/>
  <c r="E54" i="4"/>
  <c r="G54" i="4" s="1"/>
  <c r="L53" i="4"/>
  <c r="H53" i="4"/>
  <c r="I53" i="4" s="1"/>
  <c r="E53" i="4"/>
  <c r="G53" i="4" s="1"/>
  <c r="L52" i="4"/>
  <c r="H52" i="4"/>
  <c r="I52" i="4" s="1"/>
  <c r="E52" i="4"/>
  <c r="G52" i="4" s="1"/>
  <c r="L51" i="4"/>
  <c r="H51" i="4"/>
  <c r="I51" i="4" s="1"/>
  <c r="E51" i="4"/>
  <c r="G51" i="4" s="1"/>
  <c r="L50" i="4"/>
  <c r="H50" i="4"/>
  <c r="I50" i="4" s="1"/>
  <c r="E50" i="4"/>
  <c r="G50" i="4" s="1"/>
  <c r="L49" i="4"/>
  <c r="H49" i="4"/>
  <c r="I49" i="4" s="1"/>
  <c r="E49" i="4"/>
  <c r="G49" i="4" s="1"/>
  <c r="L48" i="4"/>
  <c r="H48" i="4"/>
  <c r="I48" i="4" s="1"/>
  <c r="E48" i="4"/>
  <c r="G48" i="4" s="1"/>
  <c r="L47" i="4"/>
  <c r="H47" i="4"/>
  <c r="I47" i="4" s="1"/>
  <c r="E47" i="4"/>
  <c r="G47" i="4" s="1"/>
  <c r="L46" i="4"/>
  <c r="H46" i="4"/>
  <c r="I46" i="4" s="1"/>
  <c r="E46" i="4"/>
  <c r="G46" i="4" s="1"/>
  <c r="L45" i="4"/>
  <c r="H45" i="4"/>
  <c r="I45" i="4" s="1"/>
  <c r="E45" i="4"/>
  <c r="G45" i="4" s="1"/>
  <c r="L44" i="4"/>
  <c r="H44" i="4"/>
  <c r="I44" i="4" s="1"/>
  <c r="E44" i="4"/>
  <c r="G44" i="4" s="1"/>
  <c r="L43" i="4"/>
  <c r="H43" i="4"/>
  <c r="I43" i="4" s="1"/>
  <c r="E43" i="4"/>
  <c r="G43" i="4" s="1"/>
  <c r="L42" i="4"/>
  <c r="H42" i="4"/>
  <c r="I42" i="4" s="1"/>
  <c r="G42" i="4"/>
  <c r="M42" i="4" s="1"/>
  <c r="E42" i="4"/>
  <c r="L41" i="4"/>
  <c r="H41" i="4"/>
  <c r="I41" i="4" s="1"/>
  <c r="G41" i="4"/>
  <c r="M41" i="4" s="1"/>
  <c r="E41" i="4"/>
  <c r="L40" i="4"/>
  <c r="H40" i="4"/>
  <c r="I40" i="4" s="1"/>
  <c r="G40" i="4"/>
  <c r="E40" i="4"/>
  <c r="L39" i="4"/>
  <c r="H39" i="4"/>
  <c r="I39" i="4" s="1"/>
  <c r="E39" i="4"/>
  <c r="G39" i="4" s="1"/>
  <c r="L38" i="4"/>
  <c r="H38" i="4"/>
  <c r="I38" i="4" s="1"/>
  <c r="G38" i="4"/>
  <c r="K38" i="4" s="1"/>
  <c r="E38" i="4"/>
  <c r="L37" i="4"/>
  <c r="H37" i="4"/>
  <c r="I37" i="4" s="1"/>
  <c r="E37" i="4"/>
  <c r="G37" i="4" s="1"/>
  <c r="M37" i="4" s="1"/>
  <c r="L36" i="4"/>
  <c r="H36" i="4"/>
  <c r="I36" i="4" s="1"/>
  <c r="E36" i="4"/>
  <c r="G36" i="4" s="1"/>
  <c r="K36" i="4" s="1"/>
  <c r="L35" i="4"/>
  <c r="H35" i="4"/>
  <c r="I35" i="4" s="1"/>
  <c r="E35" i="4"/>
  <c r="G35" i="4" s="1"/>
  <c r="L34" i="4"/>
  <c r="H34" i="4"/>
  <c r="I34" i="4" s="1"/>
  <c r="E34" i="4"/>
  <c r="G34" i="4" s="1"/>
  <c r="L33" i="4"/>
  <c r="H33" i="4"/>
  <c r="I33" i="4" s="1"/>
  <c r="E33" i="4"/>
  <c r="G33" i="4" s="1"/>
  <c r="L32" i="4"/>
  <c r="H32" i="4"/>
  <c r="I32" i="4" s="1"/>
  <c r="G32" i="4"/>
  <c r="E32" i="4"/>
  <c r="M31" i="4"/>
  <c r="L31" i="4"/>
  <c r="H31" i="4"/>
  <c r="G31" i="4"/>
  <c r="K31" i="4" s="1"/>
  <c r="M30" i="4"/>
  <c r="L30" i="4"/>
  <c r="H30" i="4"/>
  <c r="G30" i="4"/>
  <c r="K30" i="4" s="1"/>
  <c r="M29" i="4"/>
  <c r="L29" i="4"/>
  <c r="H29" i="4"/>
  <c r="I29" i="4" s="1"/>
  <c r="K29" i="4" s="1"/>
  <c r="G29" i="4"/>
  <c r="L28" i="4"/>
  <c r="H28" i="4"/>
  <c r="I28" i="4" s="1"/>
  <c r="E28" i="4"/>
  <c r="G28" i="4" s="1"/>
  <c r="L27" i="4"/>
  <c r="H27" i="4"/>
  <c r="G27" i="4"/>
  <c r="M27" i="4" s="1"/>
  <c r="E27" i="4"/>
  <c r="M26" i="4"/>
  <c r="L26" i="4"/>
  <c r="H26" i="4"/>
  <c r="I26" i="4" s="1"/>
  <c r="E26" i="4"/>
  <c r="G26" i="4" s="1"/>
  <c r="L25" i="4"/>
  <c r="H25" i="4"/>
  <c r="I25" i="4" s="1"/>
  <c r="G25" i="4"/>
  <c r="M25" i="4" s="1"/>
  <c r="E25" i="4"/>
  <c r="L24" i="4"/>
  <c r="H24" i="4"/>
  <c r="E24" i="4"/>
  <c r="G24" i="4" s="1"/>
  <c r="M24" i="4" s="1"/>
  <c r="L23" i="4"/>
  <c r="I23" i="4"/>
  <c r="H23" i="4"/>
  <c r="E23" i="4"/>
  <c r="G23" i="4" s="1"/>
  <c r="L22" i="4"/>
  <c r="H22" i="4"/>
  <c r="E22" i="4"/>
  <c r="G22" i="4" s="1"/>
  <c r="L21" i="4"/>
  <c r="H21" i="4"/>
  <c r="G21" i="4"/>
  <c r="M21" i="4" s="1"/>
  <c r="L20" i="4"/>
  <c r="H20" i="4"/>
  <c r="G20" i="4"/>
  <c r="M20" i="4" s="1"/>
  <c r="L19" i="4"/>
  <c r="H19" i="4"/>
  <c r="I19" i="4" s="1"/>
  <c r="E19" i="4"/>
  <c r="G19" i="4" s="1"/>
  <c r="M19" i="4" s="1"/>
  <c r="L18" i="4"/>
  <c r="H18" i="4"/>
  <c r="I18" i="4" s="1"/>
  <c r="E18" i="4"/>
  <c r="G18" i="4" s="1"/>
  <c r="L17" i="4"/>
  <c r="H17" i="4"/>
  <c r="E17" i="4"/>
  <c r="G17" i="4" s="1"/>
  <c r="L16" i="4"/>
  <c r="H16" i="4"/>
  <c r="I16" i="4" s="1"/>
  <c r="E16" i="4"/>
  <c r="G16" i="4" s="1"/>
  <c r="L15" i="4"/>
  <c r="H15" i="4"/>
  <c r="E15" i="4"/>
  <c r="G15" i="4" s="1"/>
  <c r="L14" i="4"/>
  <c r="H14" i="4"/>
  <c r="G14" i="4"/>
  <c r="M14" i="4" s="1"/>
  <c r="L13" i="4"/>
  <c r="H13" i="4"/>
  <c r="E13" i="4"/>
  <c r="G13" i="4" s="1"/>
  <c r="M13" i="4" s="1"/>
  <c r="L12" i="4"/>
  <c r="H12" i="4"/>
  <c r="E12" i="4"/>
  <c r="G12" i="4" s="1"/>
  <c r="M12" i="4" s="1"/>
  <c r="L11" i="4"/>
  <c r="H11" i="4"/>
  <c r="E11" i="4"/>
  <c r="G11" i="4" s="1"/>
  <c r="K11" i="4" s="1"/>
  <c r="M10" i="4"/>
  <c r="L10" i="4"/>
  <c r="H10" i="4"/>
  <c r="G10" i="4"/>
  <c r="L9" i="4"/>
  <c r="H9" i="4"/>
  <c r="I9" i="4" s="1"/>
  <c r="E9" i="4"/>
  <c r="G9" i="4" s="1"/>
  <c r="L8" i="4"/>
  <c r="H8" i="4"/>
  <c r="I8" i="4" s="1"/>
  <c r="E8" i="4"/>
  <c r="G8" i="4" s="1"/>
  <c r="L7" i="4"/>
  <c r="H7" i="4"/>
  <c r="I7" i="4" s="1"/>
  <c r="K7" i="4" s="1"/>
  <c r="E7" i="4"/>
  <c r="G7" i="4" s="1"/>
  <c r="L6" i="4"/>
  <c r="H6" i="4"/>
  <c r="I6" i="4" s="1"/>
  <c r="E6" i="4"/>
  <c r="G6" i="4" s="1"/>
  <c r="M6" i="4" s="1"/>
  <c r="M232" i="3"/>
  <c r="N232" i="3" s="1"/>
  <c r="O232" i="3" s="1"/>
  <c r="L232" i="3"/>
  <c r="K232" i="3"/>
  <c r="J232" i="3"/>
  <c r="I232" i="3"/>
  <c r="H232" i="3"/>
  <c r="M231" i="3"/>
  <c r="N231" i="3" s="1"/>
  <c r="O231" i="3" s="1"/>
  <c r="L231" i="3"/>
  <c r="K231" i="3"/>
  <c r="J231" i="3"/>
  <c r="I231" i="3"/>
  <c r="H231" i="3"/>
  <c r="M230" i="3"/>
  <c r="N230" i="3" s="1"/>
  <c r="O230" i="3" s="1"/>
  <c r="L230" i="3"/>
  <c r="K230" i="3"/>
  <c r="J230" i="3"/>
  <c r="I230" i="3"/>
  <c r="H230" i="3"/>
  <c r="M229" i="3"/>
  <c r="N229" i="3" s="1"/>
  <c r="O229" i="3" s="1"/>
  <c r="L229" i="3"/>
  <c r="K229" i="3"/>
  <c r="J229" i="3"/>
  <c r="I229" i="3"/>
  <c r="H229" i="3"/>
  <c r="M228" i="3"/>
  <c r="N228" i="3" s="1"/>
  <c r="O228" i="3" s="1"/>
  <c r="L228" i="3"/>
  <c r="K228" i="3"/>
  <c r="J228" i="3"/>
  <c r="I228" i="3"/>
  <c r="H228" i="3"/>
  <c r="M227" i="3"/>
  <c r="N227" i="3" s="1"/>
  <c r="O227" i="3" s="1"/>
  <c r="L227" i="3"/>
  <c r="K227" i="3"/>
  <c r="J227" i="3"/>
  <c r="I227" i="3"/>
  <c r="H227" i="3"/>
  <c r="M226" i="3"/>
  <c r="N226" i="3" s="1"/>
  <c r="O226" i="3" s="1"/>
  <c r="L226" i="3"/>
  <c r="K226" i="3"/>
  <c r="J226" i="3"/>
  <c r="I226" i="3"/>
  <c r="H226" i="3"/>
  <c r="M225" i="3"/>
  <c r="N225" i="3" s="1"/>
  <c r="O225" i="3" s="1"/>
  <c r="L225" i="3"/>
  <c r="K225" i="3"/>
  <c r="J225" i="3"/>
  <c r="I225" i="3"/>
  <c r="H225" i="3"/>
  <c r="M224" i="3"/>
  <c r="N224" i="3" s="1"/>
  <c r="O224" i="3" s="1"/>
  <c r="L224" i="3"/>
  <c r="K224" i="3"/>
  <c r="J224" i="3"/>
  <c r="I224" i="3"/>
  <c r="H224" i="3"/>
  <c r="M223" i="3"/>
  <c r="N223" i="3" s="1"/>
  <c r="O223" i="3" s="1"/>
  <c r="L223" i="3"/>
  <c r="K223" i="3"/>
  <c r="J223" i="3"/>
  <c r="I223" i="3"/>
  <c r="H223" i="3"/>
  <c r="M222" i="3"/>
  <c r="N222" i="3" s="1"/>
  <c r="O222" i="3" s="1"/>
  <c r="L222" i="3"/>
  <c r="K222" i="3"/>
  <c r="J222" i="3"/>
  <c r="I222" i="3"/>
  <c r="H222" i="3"/>
  <c r="K221" i="3"/>
  <c r="J221" i="3"/>
  <c r="L221" i="3" s="1"/>
  <c r="M221" i="3" s="1"/>
  <c r="N221" i="3" s="1"/>
  <c r="O221" i="3" s="1"/>
  <c r="I221" i="3"/>
  <c r="H221" i="3"/>
  <c r="M220" i="3"/>
  <c r="N220" i="3" s="1"/>
  <c r="O220" i="3" s="1"/>
  <c r="K220" i="3"/>
  <c r="J220" i="3"/>
  <c r="L220" i="3" s="1"/>
  <c r="I220" i="3"/>
  <c r="H220" i="3"/>
  <c r="M219" i="3"/>
  <c r="N219" i="3" s="1"/>
  <c r="O219" i="3" s="1"/>
  <c r="K219" i="3"/>
  <c r="J219" i="3"/>
  <c r="L219" i="3" s="1"/>
  <c r="I219" i="3"/>
  <c r="H219" i="3"/>
  <c r="K218" i="3"/>
  <c r="J218" i="3"/>
  <c r="L218" i="3" s="1"/>
  <c r="M218" i="3" s="1"/>
  <c r="N218" i="3" s="1"/>
  <c r="O218" i="3" s="1"/>
  <c r="I218" i="3"/>
  <c r="H218" i="3"/>
  <c r="K217" i="3"/>
  <c r="J217" i="3"/>
  <c r="L217" i="3" s="1"/>
  <c r="M217" i="3" s="1"/>
  <c r="N217" i="3" s="1"/>
  <c r="O217" i="3" s="1"/>
  <c r="I217" i="3"/>
  <c r="H217" i="3"/>
  <c r="M216" i="3"/>
  <c r="N216" i="3" s="1"/>
  <c r="O216" i="3" s="1"/>
  <c r="K216" i="3"/>
  <c r="J216" i="3"/>
  <c r="L216" i="3" s="1"/>
  <c r="I216" i="3"/>
  <c r="H216" i="3"/>
  <c r="M215" i="3"/>
  <c r="N215" i="3" s="1"/>
  <c r="O215" i="3" s="1"/>
  <c r="K215" i="3"/>
  <c r="J215" i="3"/>
  <c r="L215" i="3" s="1"/>
  <c r="I215" i="3"/>
  <c r="H215" i="3"/>
  <c r="K214" i="3"/>
  <c r="J214" i="3"/>
  <c r="L214" i="3" s="1"/>
  <c r="M214" i="3" s="1"/>
  <c r="N214" i="3" s="1"/>
  <c r="O214" i="3" s="1"/>
  <c r="I214" i="3"/>
  <c r="H214" i="3"/>
  <c r="N213" i="3"/>
  <c r="O213" i="3" s="1"/>
  <c r="M213" i="3"/>
  <c r="K213" i="3"/>
  <c r="J213" i="3"/>
  <c r="L213" i="3" s="1"/>
  <c r="I213" i="3"/>
  <c r="H213" i="3"/>
  <c r="K212" i="3"/>
  <c r="J212" i="3"/>
  <c r="L212" i="3" s="1"/>
  <c r="M212" i="3" s="1"/>
  <c r="N212" i="3" s="1"/>
  <c r="O212" i="3" s="1"/>
  <c r="I212" i="3"/>
  <c r="H212" i="3"/>
  <c r="N211" i="3"/>
  <c r="O211" i="3" s="1"/>
  <c r="M211" i="3"/>
  <c r="K211" i="3"/>
  <c r="J211" i="3"/>
  <c r="L211" i="3" s="1"/>
  <c r="I211" i="3"/>
  <c r="H211" i="3"/>
  <c r="K210" i="3"/>
  <c r="J210" i="3"/>
  <c r="L210" i="3" s="1"/>
  <c r="M210" i="3" s="1"/>
  <c r="N210" i="3" s="1"/>
  <c r="O210" i="3" s="1"/>
  <c r="I210" i="3"/>
  <c r="H210" i="3"/>
  <c r="N209" i="3"/>
  <c r="O209" i="3" s="1"/>
  <c r="M209" i="3"/>
  <c r="K209" i="3"/>
  <c r="J209" i="3"/>
  <c r="L209" i="3" s="1"/>
  <c r="I209" i="3"/>
  <c r="H209" i="3"/>
  <c r="K208" i="3"/>
  <c r="J208" i="3"/>
  <c r="L208" i="3" s="1"/>
  <c r="M208" i="3" s="1"/>
  <c r="N208" i="3" s="1"/>
  <c r="O208" i="3" s="1"/>
  <c r="I208" i="3"/>
  <c r="H208" i="3"/>
  <c r="N207" i="3"/>
  <c r="O207" i="3" s="1"/>
  <c r="M207" i="3"/>
  <c r="K207" i="3"/>
  <c r="J207" i="3"/>
  <c r="L207" i="3" s="1"/>
  <c r="I207" i="3"/>
  <c r="H207" i="3"/>
  <c r="K206" i="3"/>
  <c r="J206" i="3"/>
  <c r="L206" i="3" s="1"/>
  <c r="M206" i="3" s="1"/>
  <c r="N206" i="3" s="1"/>
  <c r="O206" i="3" s="1"/>
  <c r="I206" i="3"/>
  <c r="H206" i="3"/>
  <c r="N205" i="3"/>
  <c r="O205" i="3" s="1"/>
  <c r="M205" i="3"/>
  <c r="K205" i="3"/>
  <c r="J205" i="3"/>
  <c r="L205" i="3" s="1"/>
  <c r="I205" i="3"/>
  <c r="H205" i="3"/>
  <c r="K204" i="3"/>
  <c r="J204" i="3"/>
  <c r="L204" i="3" s="1"/>
  <c r="M204" i="3" s="1"/>
  <c r="N204" i="3" s="1"/>
  <c r="O204" i="3" s="1"/>
  <c r="I204" i="3"/>
  <c r="H204" i="3"/>
  <c r="O203" i="3"/>
  <c r="K203" i="3"/>
  <c r="J203" i="3"/>
  <c r="L203" i="3" s="1"/>
  <c r="M203" i="3" s="1"/>
  <c r="N203" i="3" s="1"/>
  <c r="I203" i="3"/>
  <c r="H203" i="3"/>
  <c r="N202" i="3"/>
  <c r="O202" i="3" s="1"/>
  <c r="M202" i="3"/>
  <c r="K202" i="3"/>
  <c r="J202" i="3"/>
  <c r="L202" i="3" s="1"/>
  <c r="I202" i="3"/>
  <c r="H202" i="3"/>
  <c r="K201" i="3"/>
  <c r="J201" i="3"/>
  <c r="I201" i="3"/>
  <c r="H201" i="3"/>
  <c r="K200" i="3"/>
  <c r="J200" i="3"/>
  <c r="I200" i="3"/>
  <c r="H200" i="3"/>
  <c r="O199" i="3"/>
  <c r="K199" i="3"/>
  <c r="J199" i="3"/>
  <c r="L199" i="3" s="1"/>
  <c r="M199" i="3" s="1"/>
  <c r="N199" i="3" s="1"/>
  <c r="I199" i="3"/>
  <c r="H199" i="3"/>
  <c r="N198" i="3"/>
  <c r="O198" i="3" s="1"/>
  <c r="M198" i="3"/>
  <c r="K198" i="3"/>
  <c r="J198" i="3"/>
  <c r="L198" i="3" s="1"/>
  <c r="I198" i="3"/>
  <c r="H198" i="3"/>
  <c r="K197" i="3"/>
  <c r="J197" i="3"/>
  <c r="I197" i="3"/>
  <c r="H197" i="3"/>
  <c r="K196" i="3"/>
  <c r="J196" i="3"/>
  <c r="I196" i="3"/>
  <c r="H196" i="3"/>
  <c r="O195" i="3"/>
  <c r="K195" i="3"/>
  <c r="J195" i="3"/>
  <c r="L195" i="3" s="1"/>
  <c r="M195" i="3" s="1"/>
  <c r="N195" i="3" s="1"/>
  <c r="I195" i="3"/>
  <c r="H195" i="3"/>
  <c r="N194" i="3"/>
  <c r="O194" i="3" s="1"/>
  <c r="M194" i="3"/>
  <c r="K194" i="3"/>
  <c r="J194" i="3"/>
  <c r="L194" i="3" s="1"/>
  <c r="I194" i="3"/>
  <c r="H194" i="3"/>
  <c r="K193" i="3"/>
  <c r="J193" i="3"/>
  <c r="I193" i="3"/>
  <c r="H193" i="3"/>
  <c r="K192" i="3"/>
  <c r="J192" i="3"/>
  <c r="I192" i="3"/>
  <c r="H192" i="3"/>
  <c r="O191" i="3"/>
  <c r="K191" i="3"/>
  <c r="J191" i="3"/>
  <c r="L191" i="3" s="1"/>
  <c r="M191" i="3" s="1"/>
  <c r="N191" i="3" s="1"/>
  <c r="I191" i="3"/>
  <c r="H191" i="3"/>
  <c r="N190" i="3"/>
  <c r="O190" i="3" s="1"/>
  <c r="M190" i="3"/>
  <c r="K190" i="3"/>
  <c r="J190" i="3"/>
  <c r="L190" i="3" s="1"/>
  <c r="I190" i="3"/>
  <c r="H190" i="3"/>
  <c r="K189" i="3"/>
  <c r="J189" i="3"/>
  <c r="I189" i="3"/>
  <c r="H189" i="3"/>
  <c r="K188" i="3"/>
  <c r="J188" i="3"/>
  <c r="I188" i="3"/>
  <c r="H188" i="3"/>
  <c r="O187" i="3"/>
  <c r="K187" i="3"/>
  <c r="J187" i="3"/>
  <c r="L187" i="3" s="1"/>
  <c r="M187" i="3" s="1"/>
  <c r="N187" i="3" s="1"/>
  <c r="I187" i="3"/>
  <c r="H187" i="3"/>
  <c r="N186" i="3"/>
  <c r="O186" i="3" s="1"/>
  <c r="M186" i="3"/>
  <c r="K186" i="3"/>
  <c r="J186" i="3"/>
  <c r="L186" i="3" s="1"/>
  <c r="I186" i="3"/>
  <c r="H186" i="3"/>
  <c r="K185" i="3"/>
  <c r="J185" i="3"/>
  <c r="I185" i="3"/>
  <c r="H185" i="3"/>
  <c r="O184" i="3"/>
  <c r="K184" i="3"/>
  <c r="J184" i="3"/>
  <c r="L184" i="3" s="1"/>
  <c r="M184" i="3" s="1"/>
  <c r="N184" i="3" s="1"/>
  <c r="I184" i="3"/>
  <c r="H184" i="3"/>
  <c r="K183" i="3"/>
  <c r="J183" i="3"/>
  <c r="L183" i="3" s="1"/>
  <c r="M183" i="3" s="1"/>
  <c r="N183" i="3" s="1"/>
  <c r="O183" i="3" s="1"/>
  <c r="I183" i="3"/>
  <c r="H183" i="3"/>
  <c r="M182" i="3"/>
  <c r="N182" i="3" s="1"/>
  <c r="O182" i="3" s="1"/>
  <c r="K182" i="3"/>
  <c r="J182" i="3"/>
  <c r="L182" i="3" s="1"/>
  <c r="I182" i="3"/>
  <c r="H182" i="3"/>
  <c r="K181" i="3"/>
  <c r="J181" i="3"/>
  <c r="I181" i="3"/>
  <c r="H181" i="3"/>
  <c r="K180" i="3"/>
  <c r="J180" i="3"/>
  <c r="L180" i="3" s="1"/>
  <c r="M180" i="3" s="1"/>
  <c r="N180" i="3" s="1"/>
  <c r="O180" i="3" s="1"/>
  <c r="I180" i="3"/>
  <c r="H180" i="3"/>
  <c r="N179" i="3"/>
  <c r="O179" i="3" s="1"/>
  <c r="K179" i="3"/>
  <c r="J179" i="3"/>
  <c r="L179" i="3" s="1"/>
  <c r="M179" i="3" s="1"/>
  <c r="I179" i="3"/>
  <c r="H179" i="3"/>
  <c r="K178" i="3"/>
  <c r="J178" i="3"/>
  <c r="L178" i="3" s="1"/>
  <c r="M178" i="3" s="1"/>
  <c r="N178" i="3" s="1"/>
  <c r="O178" i="3" s="1"/>
  <c r="I178" i="3"/>
  <c r="H178" i="3"/>
  <c r="K177" i="3"/>
  <c r="J177" i="3"/>
  <c r="I177" i="3"/>
  <c r="H177" i="3"/>
  <c r="K176" i="3"/>
  <c r="J176" i="3"/>
  <c r="H176" i="3"/>
  <c r="I176" i="3" s="1"/>
  <c r="K175" i="3"/>
  <c r="L175" i="3" s="1"/>
  <c r="J175" i="3"/>
  <c r="H175" i="3"/>
  <c r="K174" i="3"/>
  <c r="J174" i="3"/>
  <c r="L174" i="3" s="1"/>
  <c r="H174" i="3"/>
  <c r="K173" i="3"/>
  <c r="L173" i="3" s="1"/>
  <c r="J173" i="3"/>
  <c r="H173" i="3"/>
  <c r="K172" i="3"/>
  <c r="J172" i="3"/>
  <c r="H172" i="3"/>
  <c r="K171" i="3"/>
  <c r="L171" i="3" s="1"/>
  <c r="J171" i="3"/>
  <c r="H171" i="3"/>
  <c r="K170" i="3"/>
  <c r="J170" i="3"/>
  <c r="H170" i="3"/>
  <c r="K169" i="3"/>
  <c r="L169" i="3" s="1"/>
  <c r="J169" i="3"/>
  <c r="H169" i="3"/>
  <c r="K168" i="3"/>
  <c r="J168" i="3"/>
  <c r="H168" i="3"/>
  <c r="K167" i="3"/>
  <c r="L167" i="3" s="1"/>
  <c r="J167" i="3"/>
  <c r="H167" i="3"/>
  <c r="K166" i="3"/>
  <c r="J166" i="3"/>
  <c r="L166" i="3" s="1"/>
  <c r="H166" i="3"/>
  <c r="K165" i="3"/>
  <c r="L165" i="3" s="1"/>
  <c r="J165" i="3"/>
  <c r="H165" i="3"/>
  <c r="K164" i="3"/>
  <c r="J164" i="3"/>
  <c r="H164" i="3"/>
  <c r="K163" i="3"/>
  <c r="L163" i="3" s="1"/>
  <c r="J163" i="3"/>
  <c r="H163" i="3"/>
  <c r="K162" i="3"/>
  <c r="J162" i="3"/>
  <c r="H162" i="3"/>
  <c r="K161" i="3"/>
  <c r="L161" i="3" s="1"/>
  <c r="J161" i="3"/>
  <c r="H161" i="3"/>
  <c r="K160" i="3"/>
  <c r="J160" i="3"/>
  <c r="H160" i="3"/>
  <c r="K159" i="3"/>
  <c r="L159" i="3" s="1"/>
  <c r="J159" i="3"/>
  <c r="H159" i="3"/>
  <c r="K158" i="3"/>
  <c r="J158" i="3"/>
  <c r="L158" i="3" s="1"/>
  <c r="H158" i="3"/>
  <c r="K157" i="3"/>
  <c r="L157" i="3" s="1"/>
  <c r="J157" i="3"/>
  <c r="H157" i="3"/>
  <c r="K156" i="3"/>
  <c r="J156" i="3"/>
  <c r="H156" i="3"/>
  <c r="K155" i="3"/>
  <c r="L155" i="3" s="1"/>
  <c r="J155" i="3"/>
  <c r="H155" i="3"/>
  <c r="K154" i="3"/>
  <c r="J154" i="3"/>
  <c r="H154" i="3"/>
  <c r="K153" i="3"/>
  <c r="L153" i="3" s="1"/>
  <c r="J153" i="3"/>
  <c r="H153" i="3"/>
  <c r="K152" i="3"/>
  <c r="J152" i="3"/>
  <c r="H152" i="3"/>
  <c r="K151" i="3"/>
  <c r="L151" i="3" s="1"/>
  <c r="J151" i="3"/>
  <c r="H151" i="3"/>
  <c r="K150" i="3"/>
  <c r="J150" i="3"/>
  <c r="L150" i="3" s="1"/>
  <c r="H150" i="3"/>
  <c r="K149" i="3"/>
  <c r="L149" i="3" s="1"/>
  <c r="J149" i="3"/>
  <c r="H149" i="3"/>
  <c r="K148" i="3"/>
  <c r="J148" i="3"/>
  <c r="H148" i="3"/>
  <c r="K147" i="3"/>
  <c r="L147" i="3" s="1"/>
  <c r="J147" i="3"/>
  <c r="H147" i="3"/>
  <c r="K146" i="3"/>
  <c r="J146" i="3"/>
  <c r="H146" i="3"/>
  <c r="K145" i="3"/>
  <c r="L145" i="3" s="1"/>
  <c r="J145" i="3"/>
  <c r="H145" i="3"/>
  <c r="K144" i="3"/>
  <c r="J144" i="3"/>
  <c r="H144" i="3"/>
  <c r="K143" i="3"/>
  <c r="L143" i="3" s="1"/>
  <c r="J143" i="3"/>
  <c r="H143" i="3"/>
  <c r="K142" i="3"/>
  <c r="J142" i="3"/>
  <c r="L142" i="3" s="1"/>
  <c r="H142" i="3"/>
  <c r="K141" i="3"/>
  <c r="L141" i="3" s="1"/>
  <c r="J141" i="3"/>
  <c r="H141" i="3"/>
  <c r="K140" i="3"/>
  <c r="J140" i="3"/>
  <c r="H140" i="3"/>
  <c r="L139" i="3"/>
  <c r="K139" i="3"/>
  <c r="J139" i="3"/>
  <c r="H139" i="3"/>
  <c r="K138" i="3"/>
  <c r="J138" i="3"/>
  <c r="H138" i="3"/>
  <c r="L137" i="3"/>
  <c r="K137" i="3"/>
  <c r="J137" i="3"/>
  <c r="H137" i="3"/>
  <c r="K136" i="3"/>
  <c r="J136" i="3"/>
  <c r="H136" i="3"/>
  <c r="L135" i="3"/>
  <c r="K135" i="3"/>
  <c r="J135" i="3"/>
  <c r="H135" i="3"/>
  <c r="K134" i="3"/>
  <c r="J134" i="3"/>
  <c r="H134" i="3"/>
  <c r="L133" i="3"/>
  <c r="K133" i="3"/>
  <c r="J133" i="3"/>
  <c r="H133" i="3"/>
  <c r="K132" i="3"/>
  <c r="J132" i="3"/>
  <c r="H132" i="3"/>
  <c r="L131" i="3"/>
  <c r="K131" i="3"/>
  <c r="J131" i="3"/>
  <c r="H131" i="3"/>
  <c r="K130" i="3"/>
  <c r="J130" i="3"/>
  <c r="H130" i="3"/>
  <c r="L129" i="3"/>
  <c r="K129" i="3"/>
  <c r="J129" i="3"/>
  <c r="H129" i="3"/>
  <c r="K128" i="3"/>
  <c r="J128" i="3"/>
  <c r="H128" i="3"/>
  <c r="L127" i="3"/>
  <c r="K127" i="3"/>
  <c r="J127" i="3"/>
  <c r="H127" i="3"/>
  <c r="K126" i="3"/>
  <c r="J126" i="3"/>
  <c r="H126" i="3"/>
  <c r="L125" i="3"/>
  <c r="K125" i="3"/>
  <c r="J125" i="3"/>
  <c r="H125" i="3"/>
  <c r="K124" i="3"/>
  <c r="J124" i="3"/>
  <c r="H124" i="3"/>
  <c r="L123" i="3"/>
  <c r="K123" i="3"/>
  <c r="J123" i="3"/>
  <c r="H123" i="3"/>
  <c r="K122" i="3"/>
  <c r="J122" i="3"/>
  <c r="H122" i="3"/>
  <c r="L121" i="3"/>
  <c r="K121" i="3"/>
  <c r="J121" i="3"/>
  <c r="H121" i="3"/>
  <c r="K120" i="3"/>
  <c r="J120" i="3"/>
  <c r="H120" i="3"/>
  <c r="L119" i="3"/>
  <c r="K119" i="3"/>
  <c r="J119" i="3"/>
  <c r="H119" i="3"/>
  <c r="K118" i="3"/>
  <c r="J118" i="3"/>
  <c r="H118" i="3"/>
  <c r="L117" i="3"/>
  <c r="K117" i="3"/>
  <c r="J117" i="3"/>
  <c r="H117" i="3"/>
  <c r="K116" i="3"/>
  <c r="J116" i="3"/>
  <c r="I116" i="3"/>
  <c r="H116" i="3"/>
  <c r="K115" i="3"/>
  <c r="J115" i="3"/>
  <c r="L115" i="3" s="1"/>
  <c r="M115" i="3" s="1"/>
  <c r="N115" i="3" s="1"/>
  <c r="O115" i="3" s="1"/>
  <c r="I115" i="3"/>
  <c r="H115" i="3"/>
  <c r="K114" i="3"/>
  <c r="J114" i="3"/>
  <c r="I114" i="3"/>
  <c r="H114" i="3"/>
  <c r="K113" i="3"/>
  <c r="J113" i="3"/>
  <c r="I113" i="3"/>
  <c r="H113" i="3"/>
  <c r="K112" i="3"/>
  <c r="J112" i="3"/>
  <c r="I112" i="3"/>
  <c r="H112" i="3"/>
  <c r="K111" i="3"/>
  <c r="J111" i="3"/>
  <c r="I111" i="3"/>
  <c r="H111" i="3"/>
  <c r="K110" i="3"/>
  <c r="J110" i="3"/>
  <c r="I110" i="3"/>
  <c r="H110" i="3"/>
  <c r="K109" i="3"/>
  <c r="J109" i="3"/>
  <c r="I109" i="3"/>
  <c r="H109" i="3"/>
  <c r="K108" i="3"/>
  <c r="J108" i="3"/>
  <c r="I108" i="3"/>
  <c r="H108" i="3"/>
  <c r="K107" i="3"/>
  <c r="J107" i="3"/>
  <c r="I107" i="3"/>
  <c r="H107" i="3"/>
  <c r="K106" i="3"/>
  <c r="J106" i="3"/>
  <c r="I106" i="3"/>
  <c r="H106" i="3"/>
  <c r="K105" i="3"/>
  <c r="J105" i="3"/>
  <c r="I105" i="3"/>
  <c r="H105" i="3"/>
  <c r="K104" i="3"/>
  <c r="J104" i="3"/>
  <c r="I104" i="3"/>
  <c r="H104" i="3"/>
  <c r="K103" i="3"/>
  <c r="J103" i="3"/>
  <c r="I103" i="3"/>
  <c r="H103" i="3"/>
  <c r="K102" i="3"/>
  <c r="J102" i="3"/>
  <c r="I102" i="3"/>
  <c r="H102" i="3"/>
  <c r="K101" i="3"/>
  <c r="J101" i="3"/>
  <c r="I101" i="3"/>
  <c r="H101" i="3"/>
  <c r="K100" i="3"/>
  <c r="J100" i="3"/>
  <c r="I100" i="3"/>
  <c r="H100" i="3"/>
  <c r="K99" i="3"/>
  <c r="J99" i="3"/>
  <c r="L99" i="3" s="1"/>
  <c r="M99" i="3" s="1"/>
  <c r="N99" i="3" s="1"/>
  <c r="O99" i="3" s="1"/>
  <c r="I99" i="3"/>
  <c r="H99" i="3"/>
  <c r="K98" i="3"/>
  <c r="J98" i="3"/>
  <c r="I98" i="3"/>
  <c r="H98" i="3"/>
  <c r="M97" i="3"/>
  <c r="N97" i="3" s="1"/>
  <c r="O97" i="3" s="1"/>
  <c r="K97" i="3"/>
  <c r="J97" i="3"/>
  <c r="L97" i="3" s="1"/>
  <c r="I97" i="3"/>
  <c r="H97" i="3"/>
  <c r="K96" i="3"/>
  <c r="J96" i="3"/>
  <c r="I96" i="3"/>
  <c r="H96" i="3"/>
  <c r="K95" i="3"/>
  <c r="J95" i="3"/>
  <c r="L95" i="3" s="1"/>
  <c r="M95" i="3" s="1"/>
  <c r="N95" i="3" s="1"/>
  <c r="O95" i="3" s="1"/>
  <c r="I95" i="3"/>
  <c r="H95" i="3"/>
  <c r="K94" i="3"/>
  <c r="J94" i="3"/>
  <c r="I94" i="3"/>
  <c r="H94" i="3"/>
  <c r="M93" i="3"/>
  <c r="N93" i="3" s="1"/>
  <c r="O93" i="3" s="1"/>
  <c r="K93" i="3"/>
  <c r="J93" i="3"/>
  <c r="L93" i="3" s="1"/>
  <c r="I93" i="3"/>
  <c r="H93" i="3"/>
  <c r="K92" i="3"/>
  <c r="J92" i="3"/>
  <c r="I92" i="3"/>
  <c r="H92" i="3"/>
  <c r="K91" i="3"/>
  <c r="J91" i="3"/>
  <c r="L91" i="3" s="1"/>
  <c r="M91" i="3" s="1"/>
  <c r="N91" i="3" s="1"/>
  <c r="O91" i="3" s="1"/>
  <c r="I91" i="3"/>
  <c r="H91" i="3"/>
  <c r="K90" i="3"/>
  <c r="J90" i="3"/>
  <c r="I90" i="3"/>
  <c r="H90" i="3"/>
  <c r="M89" i="3"/>
  <c r="N89" i="3" s="1"/>
  <c r="O89" i="3" s="1"/>
  <c r="K89" i="3"/>
  <c r="J89" i="3"/>
  <c r="L89" i="3" s="1"/>
  <c r="I89" i="3"/>
  <c r="H89" i="3"/>
  <c r="K88" i="3"/>
  <c r="J88" i="3"/>
  <c r="I88" i="3"/>
  <c r="H88" i="3"/>
  <c r="K87" i="3"/>
  <c r="J87" i="3"/>
  <c r="L87" i="3" s="1"/>
  <c r="M87" i="3" s="1"/>
  <c r="N87" i="3" s="1"/>
  <c r="O87" i="3" s="1"/>
  <c r="I87" i="3"/>
  <c r="H87" i="3"/>
  <c r="K86" i="3"/>
  <c r="J86" i="3"/>
  <c r="I86" i="3"/>
  <c r="H86" i="3"/>
  <c r="M85" i="3"/>
  <c r="N85" i="3" s="1"/>
  <c r="O85" i="3" s="1"/>
  <c r="K85" i="3"/>
  <c r="J85" i="3"/>
  <c r="L85" i="3" s="1"/>
  <c r="I85" i="3"/>
  <c r="H85" i="3"/>
  <c r="K84" i="3"/>
  <c r="J84" i="3"/>
  <c r="I84" i="3"/>
  <c r="H84" i="3"/>
  <c r="K83" i="3"/>
  <c r="J83" i="3"/>
  <c r="L83" i="3" s="1"/>
  <c r="M83" i="3" s="1"/>
  <c r="N83" i="3" s="1"/>
  <c r="O83" i="3" s="1"/>
  <c r="I83" i="3"/>
  <c r="H83" i="3"/>
  <c r="K82" i="3"/>
  <c r="J82" i="3"/>
  <c r="I82" i="3"/>
  <c r="H82" i="3"/>
  <c r="M81" i="3"/>
  <c r="N81" i="3" s="1"/>
  <c r="O81" i="3" s="1"/>
  <c r="K81" i="3"/>
  <c r="J81" i="3"/>
  <c r="L81" i="3" s="1"/>
  <c r="I81" i="3"/>
  <c r="H81" i="3"/>
  <c r="K80" i="3"/>
  <c r="J80" i="3"/>
  <c r="I80" i="3"/>
  <c r="H80" i="3"/>
  <c r="K79" i="3"/>
  <c r="J79" i="3"/>
  <c r="L79" i="3" s="1"/>
  <c r="M79" i="3" s="1"/>
  <c r="N79" i="3" s="1"/>
  <c r="O79" i="3" s="1"/>
  <c r="I79" i="3"/>
  <c r="H79" i="3"/>
  <c r="K78" i="3"/>
  <c r="J78" i="3"/>
  <c r="I78" i="3"/>
  <c r="H78" i="3"/>
  <c r="M77" i="3"/>
  <c r="N77" i="3" s="1"/>
  <c r="O77" i="3" s="1"/>
  <c r="K77" i="3"/>
  <c r="J77" i="3"/>
  <c r="L77" i="3" s="1"/>
  <c r="I77" i="3"/>
  <c r="H77" i="3"/>
  <c r="K76" i="3"/>
  <c r="J76" i="3"/>
  <c r="I76" i="3"/>
  <c r="H76" i="3"/>
  <c r="K75" i="3"/>
  <c r="J75" i="3"/>
  <c r="L75" i="3" s="1"/>
  <c r="M75" i="3" s="1"/>
  <c r="N75" i="3" s="1"/>
  <c r="O75" i="3" s="1"/>
  <c r="I75" i="3"/>
  <c r="H75" i="3"/>
  <c r="K74" i="3"/>
  <c r="J74" i="3"/>
  <c r="I74" i="3"/>
  <c r="H74" i="3"/>
  <c r="M73" i="3"/>
  <c r="N73" i="3" s="1"/>
  <c r="O73" i="3" s="1"/>
  <c r="K73" i="3"/>
  <c r="J73" i="3"/>
  <c r="L73" i="3" s="1"/>
  <c r="I73" i="3"/>
  <c r="H73" i="3"/>
  <c r="K72" i="3"/>
  <c r="J72" i="3"/>
  <c r="I72" i="3"/>
  <c r="H72" i="3"/>
  <c r="K71" i="3"/>
  <c r="J71" i="3"/>
  <c r="L71" i="3" s="1"/>
  <c r="M71" i="3" s="1"/>
  <c r="N71" i="3" s="1"/>
  <c r="O71" i="3" s="1"/>
  <c r="I71" i="3"/>
  <c r="H71" i="3"/>
  <c r="K70" i="3"/>
  <c r="J70" i="3"/>
  <c r="I70" i="3"/>
  <c r="H70" i="3"/>
  <c r="M69" i="3"/>
  <c r="N69" i="3" s="1"/>
  <c r="O69" i="3" s="1"/>
  <c r="K69" i="3"/>
  <c r="J69" i="3"/>
  <c r="L69" i="3" s="1"/>
  <c r="I69" i="3"/>
  <c r="H69" i="3"/>
  <c r="K68" i="3"/>
  <c r="J68" i="3"/>
  <c r="I68" i="3"/>
  <c r="H68" i="3"/>
  <c r="K67" i="3"/>
  <c r="J67" i="3"/>
  <c r="L67" i="3" s="1"/>
  <c r="M67" i="3" s="1"/>
  <c r="N67" i="3" s="1"/>
  <c r="O67" i="3" s="1"/>
  <c r="I67" i="3"/>
  <c r="H67" i="3"/>
  <c r="K66" i="3"/>
  <c r="J66" i="3"/>
  <c r="I66" i="3"/>
  <c r="H66" i="3"/>
  <c r="M65" i="3"/>
  <c r="N65" i="3" s="1"/>
  <c r="O65" i="3" s="1"/>
  <c r="K65" i="3"/>
  <c r="J65" i="3"/>
  <c r="L65" i="3" s="1"/>
  <c r="I65" i="3"/>
  <c r="H65" i="3"/>
  <c r="K64" i="3"/>
  <c r="J64" i="3"/>
  <c r="I64" i="3"/>
  <c r="H64" i="3"/>
  <c r="K63" i="3"/>
  <c r="J63" i="3"/>
  <c r="L63" i="3" s="1"/>
  <c r="M63" i="3" s="1"/>
  <c r="N63" i="3" s="1"/>
  <c r="O63" i="3" s="1"/>
  <c r="I63" i="3"/>
  <c r="H63" i="3"/>
  <c r="K62" i="3"/>
  <c r="J62" i="3"/>
  <c r="I62" i="3"/>
  <c r="H62" i="3"/>
  <c r="M61" i="3"/>
  <c r="N61" i="3" s="1"/>
  <c r="O61" i="3" s="1"/>
  <c r="K61" i="3"/>
  <c r="J61" i="3"/>
  <c r="L61" i="3" s="1"/>
  <c r="I61" i="3"/>
  <c r="H61" i="3"/>
  <c r="K60" i="3"/>
  <c r="J60" i="3"/>
  <c r="I60" i="3"/>
  <c r="H60" i="3"/>
  <c r="K59" i="3"/>
  <c r="J59" i="3"/>
  <c r="L59" i="3" s="1"/>
  <c r="M59" i="3" s="1"/>
  <c r="N59" i="3" s="1"/>
  <c r="O59" i="3" s="1"/>
  <c r="I59" i="3"/>
  <c r="H59" i="3"/>
  <c r="K58" i="3"/>
  <c r="J58" i="3"/>
  <c r="I58" i="3"/>
  <c r="H58" i="3"/>
  <c r="M57" i="3"/>
  <c r="N57" i="3" s="1"/>
  <c r="O57" i="3" s="1"/>
  <c r="K57" i="3"/>
  <c r="J57" i="3"/>
  <c r="L57" i="3" s="1"/>
  <c r="I57" i="3"/>
  <c r="H57" i="3"/>
  <c r="K56" i="3"/>
  <c r="J56" i="3"/>
  <c r="I56" i="3"/>
  <c r="H56" i="3"/>
  <c r="K55" i="3"/>
  <c r="J55" i="3"/>
  <c r="L55" i="3" s="1"/>
  <c r="M55" i="3" s="1"/>
  <c r="N55" i="3" s="1"/>
  <c r="O55" i="3" s="1"/>
  <c r="I55" i="3"/>
  <c r="H55" i="3"/>
  <c r="K54" i="3"/>
  <c r="J54" i="3"/>
  <c r="I54" i="3"/>
  <c r="H54" i="3"/>
  <c r="M53" i="3"/>
  <c r="N53" i="3" s="1"/>
  <c r="O53" i="3" s="1"/>
  <c r="K53" i="3"/>
  <c r="J53" i="3"/>
  <c r="L53" i="3" s="1"/>
  <c r="I53" i="3"/>
  <c r="H53" i="3"/>
  <c r="K52" i="3"/>
  <c r="J52" i="3"/>
  <c r="I52" i="3"/>
  <c r="H52" i="3"/>
  <c r="K51" i="3"/>
  <c r="J51" i="3"/>
  <c r="L51" i="3" s="1"/>
  <c r="M51" i="3" s="1"/>
  <c r="N51" i="3" s="1"/>
  <c r="O51" i="3" s="1"/>
  <c r="I51" i="3"/>
  <c r="H51" i="3"/>
  <c r="K50" i="3"/>
  <c r="J50" i="3"/>
  <c r="I50" i="3"/>
  <c r="H50" i="3"/>
  <c r="M49" i="3"/>
  <c r="N49" i="3" s="1"/>
  <c r="O49" i="3" s="1"/>
  <c r="K49" i="3"/>
  <c r="J49" i="3"/>
  <c r="L49" i="3" s="1"/>
  <c r="I49" i="3"/>
  <c r="H49" i="3"/>
  <c r="K48" i="3"/>
  <c r="J48" i="3"/>
  <c r="I48" i="3"/>
  <c r="H48" i="3"/>
  <c r="K47" i="3"/>
  <c r="J47" i="3"/>
  <c r="L47" i="3" s="1"/>
  <c r="M47" i="3" s="1"/>
  <c r="N47" i="3" s="1"/>
  <c r="O47" i="3" s="1"/>
  <c r="I47" i="3"/>
  <c r="H47" i="3"/>
  <c r="K46" i="3"/>
  <c r="J46" i="3"/>
  <c r="I46" i="3"/>
  <c r="H46" i="3"/>
  <c r="M45" i="3"/>
  <c r="N45" i="3" s="1"/>
  <c r="O45" i="3" s="1"/>
  <c r="K45" i="3"/>
  <c r="J45" i="3"/>
  <c r="L45" i="3" s="1"/>
  <c r="I45" i="3"/>
  <c r="H45" i="3"/>
  <c r="K44" i="3"/>
  <c r="J44" i="3"/>
  <c r="I44" i="3"/>
  <c r="H44" i="3"/>
  <c r="K43" i="3"/>
  <c r="J43" i="3"/>
  <c r="L43" i="3" s="1"/>
  <c r="M43" i="3" s="1"/>
  <c r="N43" i="3" s="1"/>
  <c r="O43" i="3" s="1"/>
  <c r="I43" i="3"/>
  <c r="H43" i="3"/>
  <c r="K42" i="3"/>
  <c r="J42" i="3"/>
  <c r="I42" i="3"/>
  <c r="H42" i="3"/>
  <c r="M41" i="3"/>
  <c r="N41" i="3" s="1"/>
  <c r="O41" i="3" s="1"/>
  <c r="K41" i="3"/>
  <c r="J41" i="3"/>
  <c r="L41" i="3" s="1"/>
  <c r="I41" i="3"/>
  <c r="H41" i="3"/>
  <c r="K40" i="3"/>
  <c r="J40" i="3"/>
  <c r="I40" i="3"/>
  <c r="H40" i="3"/>
  <c r="K39" i="3"/>
  <c r="J39" i="3"/>
  <c r="L39" i="3" s="1"/>
  <c r="M39" i="3" s="1"/>
  <c r="N39" i="3" s="1"/>
  <c r="O39" i="3" s="1"/>
  <c r="I39" i="3"/>
  <c r="H39" i="3"/>
  <c r="K38" i="3"/>
  <c r="J38" i="3"/>
  <c r="I38" i="3"/>
  <c r="H38" i="3"/>
  <c r="M37" i="3"/>
  <c r="N37" i="3" s="1"/>
  <c r="O37" i="3" s="1"/>
  <c r="K37" i="3"/>
  <c r="J37" i="3"/>
  <c r="L37" i="3" s="1"/>
  <c r="I37" i="3"/>
  <c r="H37" i="3"/>
  <c r="K36" i="3"/>
  <c r="J36" i="3"/>
  <c r="I36" i="3"/>
  <c r="H36" i="3"/>
  <c r="K35" i="3"/>
  <c r="J35" i="3"/>
  <c r="L35" i="3" s="1"/>
  <c r="M35" i="3" s="1"/>
  <c r="N35" i="3" s="1"/>
  <c r="O35" i="3" s="1"/>
  <c r="I35" i="3"/>
  <c r="H35" i="3"/>
  <c r="K34" i="3"/>
  <c r="J34" i="3"/>
  <c r="I34" i="3"/>
  <c r="H34" i="3"/>
  <c r="M33" i="3"/>
  <c r="N33" i="3" s="1"/>
  <c r="O33" i="3" s="1"/>
  <c r="K33" i="3"/>
  <c r="J33" i="3"/>
  <c r="L33" i="3" s="1"/>
  <c r="I33" i="3"/>
  <c r="H33" i="3"/>
  <c r="K32" i="3"/>
  <c r="J32" i="3"/>
  <c r="I32" i="3"/>
  <c r="H32" i="3"/>
  <c r="K31" i="3"/>
  <c r="J31" i="3"/>
  <c r="L31" i="3" s="1"/>
  <c r="M31" i="3" s="1"/>
  <c r="N31" i="3" s="1"/>
  <c r="O31" i="3" s="1"/>
  <c r="I31" i="3"/>
  <c r="H31" i="3"/>
  <c r="K30" i="3"/>
  <c r="J30" i="3"/>
  <c r="I30" i="3"/>
  <c r="H30" i="3"/>
  <c r="M29" i="3"/>
  <c r="N29" i="3" s="1"/>
  <c r="O29" i="3" s="1"/>
  <c r="K29" i="3"/>
  <c r="J29" i="3"/>
  <c r="L29" i="3" s="1"/>
  <c r="I29" i="3"/>
  <c r="H29" i="3"/>
  <c r="K28" i="3"/>
  <c r="J28" i="3"/>
  <c r="I28" i="3"/>
  <c r="H28" i="3"/>
  <c r="K27" i="3"/>
  <c r="J27" i="3"/>
  <c r="L27" i="3" s="1"/>
  <c r="M27" i="3" s="1"/>
  <c r="N27" i="3" s="1"/>
  <c r="O27" i="3" s="1"/>
  <c r="I27" i="3"/>
  <c r="H27" i="3"/>
  <c r="K26" i="3"/>
  <c r="J26" i="3"/>
  <c r="I26" i="3"/>
  <c r="H26" i="3"/>
  <c r="M25" i="3"/>
  <c r="N25" i="3" s="1"/>
  <c r="O25" i="3" s="1"/>
  <c r="K25" i="3"/>
  <c r="J25" i="3"/>
  <c r="L25" i="3" s="1"/>
  <c r="I25" i="3"/>
  <c r="H25" i="3"/>
  <c r="K24" i="3"/>
  <c r="J24" i="3"/>
  <c r="I24" i="3"/>
  <c r="H24" i="3"/>
  <c r="K23" i="3"/>
  <c r="J23" i="3"/>
  <c r="L23" i="3" s="1"/>
  <c r="M23" i="3" s="1"/>
  <c r="N23" i="3" s="1"/>
  <c r="O23" i="3" s="1"/>
  <c r="I23" i="3"/>
  <c r="H23" i="3"/>
  <c r="K22" i="3"/>
  <c r="J22" i="3"/>
  <c r="I22" i="3"/>
  <c r="H22" i="3"/>
  <c r="M21" i="3"/>
  <c r="N21" i="3" s="1"/>
  <c r="O21" i="3" s="1"/>
  <c r="K21" i="3"/>
  <c r="J21" i="3"/>
  <c r="L21" i="3" s="1"/>
  <c r="I21" i="3"/>
  <c r="H21" i="3"/>
  <c r="K20" i="3"/>
  <c r="J20" i="3"/>
  <c r="I20" i="3"/>
  <c r="H20" i="3"/>
  <c r="K19" i="3"/>
  <c r="J19" i="3"/>
  <c r="L19" i="3" s="1"/>
  <c r="M19" i="3" s="1"/>
  <c r="N19" i="3" s="1"/>
  <c r="O19" i="3" s="1"/>
  <c r="I19" i="3"/>
  <c r="H19" i="3"/>
  <c r="K18" i="3"/>
  <c r="J18" i="3"/>
  <c r="L18" i="3" s="1"/>
  <c r="M18" i="3" s="1"/>
  <c r="N18" i="3" s="1"/>
  <c r="O18" i="3" s="1"/>
  <c r="I18" i="3"/>
  <c r="H18" i="3"/>
  <c r="K17" i="3"/>
  <c r="J17" i="3"/>
  <c r="L17" i="3" s="1"/>
  <c r="M17" i="3" s="1"/>
  <c r="N17" i="3" s="1"/>
  <c r="O17" i="3" s="1"/>
  <c r="I17" i="3"/>
  <c r="H17" i="3"/>
  <c r="K16" i="3"/>
  <c r="J16" i="3"/>
  <c r="L16" i="3" s="1"/>
  <c r="M16" i="3" s="1"/>
  <c r="N16" i="3" s="1"/>
  <c r="O16" i="3" s="1"/>
  <c r="I16" i="3"/>
  <c r="H16" i="3"/>
  <c r="K15" i="3"/>
  <c r="J15" i="3"/>
  <c r="L15" i="3" s="1"/>
  <c r="M15" i="3" s="1"/>
  <c r="N15" i="3" s="1"/>
  <c r="O15" i="3" s="1"/>
  <c r="I15" i="3"/>
  <c r="H15" i="3"/>
  <c r="K14" i="3"/>
  <c r="J14" i="3"/>
  <c r="L14" i="3" s="1"/>
  <c r="M14" i="3" s="1"/>
  <c r="N14" i="3" s="1"/>
  <c r="O14" i="3" s="1"/>
  <c r="I14" i="3"/>
  <c r="H14" i="3"/>
  <c r="K13" i="3"/>
  <c r="J13" i="3"/>
  <c r="L13" i="3" s="1"/>
  <c r="M13" i="3" s="1"/>
  <c r="N13" i="3" s="1"/>
  <c r="O13" i="3" s="1"/>
  <c r="I13" i="3"/>
  <c r="H13" i="3"/>
  <c r="K12" i="3"/>
  <c r="J12" i="3"/>
  <c r="L12" i="3" s="1"/>
  <c r="M12" i="3" s="1"/>
  <c r="N12" i="3" s="1"/>
  <c r="O12" i="3" s="1"/>
  <c r="I12" i="3"/>
  <c r="H12" i="3"/>
  <c r="K11" i="3"/>
  <c r="J11" i="3"/>
  <c r="L11" i="3" s="1"/>
  <c r="M11" i="3" s="1"/>
  <c r="N11" i="3" s="1"/>
  <c r="O11" i="3" s="1"/>
  <c r="I11" i="3"/>
  <c r="H11" i="3"/>
  <c r="K10" i="3"/>
  <c r="J10" i="3"/>
  <c r="L10" i="3" s="1"/>
  <c r="M10" i="3" s="1"/>
  <c r="N10" i="3" s="1"/>
  <c r="O10" i="3" s="1"/>
  <c r="I10" i="3"/>
  <c r="H10" i="3"/>
  <c r="K9" i="3"/>
  <c r="J9" i="3"/>
  <c r="L9" i="3" s="1"/>
  <c r="M9" i="3" s="1"/>
  <c r="N9" i="3" s="1"/>
  <c r="O9" i="3" s="1"/>
  <c r="I9" i="3"/>
  <c r="H9" i="3"/>
  <c r="K8" i="3"/>
  <c r="J8" i="3"/>
  <c r="L8" i="3" s="1"/>
  <c r="M8" i="3" s="1"/>
  <c r="N8" i="3" s="1"/>
  <c r="O8" i="3" s="1"/>
  <c r="I8" i="3"/>
  <c r="H8" i="3"/>
  <c r="K7" i="3"/>
  <c r="J7" i="3"/>
  <c r="L7" i="3" s="1"/>
  <c r="M7" i="3" s="1"/>
  <c r="N7" i="3" s="1"/>
  <c r="O7" i="3" s="1"/>
  <c r="I7" i="3"/>
  <c r="H7" i="3"/>
  <c r="K75" i="4" l="1"/>
  <c r="N75" i="4" s="1"/>
  <c r="O75" i="4" s="1"/>
  <c r="P75" i="4" s="1"/>
  <c r="K71" i="4"/>
  <c r="N71" i="4" s="1"/>
  <c r="O71" i="4" s="1"/>
  <c r="P71" i="4" s="1"/>
  <c r="K70" i="4"/>
  <c r="K69" i="4"/>
  <c r="K68" i="4"/>
  <c r="K8" i="4"/>
  <c r="M8" i="4"/>
  <c r="N73" i="4"/>
  <c r="O73" i="4" s="1"/>
  <c r="P73" i="4" s="1"/>
  <c r="N77" i="4"/>
  <c r="O77" i="4" s="1"/>
  <c r="P77" i="4" s="1"/>
  <c r="N85" i="4"/>
  <c r="O85" i="4" s="1"/>
  <c r="P85" i="4" s="1"/>
  <c r="N87" i="4"/>
  <c r="O87" i="4" s="1"/>
  <c r="P87" i="4" s="1"/>
  <c r="N95" i="4"/>
  <c r="O95" i="4" s="1"/>
  <c r="P95" i="4" s="1"/>
  <c r="N106" i="4"/>
  <c r="O106" i="4" s="1"/>
  <c r="P106" i="4" s="1"/>
  <c r="K107" i="4"/>
  <c r="N81" i="4"/>
  <c r="O81" i="4" s="1"/>
  <c r="P81" i="4" s="1"/>
  <c r="N93" i="4"/>
  <c r="O93" i="4" s="1"/>
  <c r="P93" i="4" s="1"/>
  <c r="N104" i="4"/>
  <c r="O104" i="4" s="1"/>
  <c r="P104" i="4" s="1"/>
  <c r="K73" i="4"/>
  <c r="K77" i="4"/>
  <c r="K81" i="4"/>
  <c r="K85" i="4"/>
  <c r="M86" i="4"/>
  <c r="N89" i="4"/>
  <c r="O89" i="4" s="1"/>
  <c r="P89" i="4" s="1"/>
  <c r="K93" i="4"/>
  <c r="M94" i="4"/>
  <c r="M98" i="4"/>
  <c r="K101" i="4"/>
  <c r="N41" i="4"/>
  <c r="O41" i="4" s="1"/>
  <c r="P41" i="4" s="1"/>
  <c r="K64" i="4"/>
  <c r="K63" i="4"/>
  <c r="N63" i="4"/>
  <c r="O63" i="4" s="1"/>
  <c r="P63" i="4" s="1"/>
  <c r="K61" i="4"/>
  <c r="M61" i="4"/>
  <c r="K59" i="4"/>
  <c r="M59" i="4"/>
  <c r="K57" i="4"/>
  <c r="M57" i="4"/>
  <c r="K55" i="4"/>
  <c r="M55" i="4"/>
  <c r="M147" i="3"/>
  <c r="N147" i="3" s="1"/>
  <c r="O147" i="3" s="1"/>
  <c r="I147" i="3"/>
  <c r="M155" i="3"/>
  <c r="N155" i="3" s="1"/>
  <c r="O155" i="3" s="1"/>
  <c r="I155" i="3"/>
  <c r="M163" i="3"/>
  <c r="N163" i="3" s="1"/>
  <c r="O163" i="3" s="1"/>
  <c r="I163" i="3"/>
  <c r="M171" i="3"/>
  <c r="N171" i="3" s="1"/>
  <c r="O171" i="3" s="1"/>
  <c r="I171" i="3"/>
  <c r="L22" i="3"/>
  <c r="M22" i="3" s="1"/>
  <c r="N22" i="3" s="1"/>
  <c r="O22" i="3" s="1"/>
  <c r="L26" i="3"/>
  <c r="M26" i="3" s="1"/>
  <c r="N26" i="3" s="1"/>
  <c r="O26" i="3" s="1"/>
  <c r="L30" i="3"/>
  <c r="M30" i="3" s="1"/>
  <c r="N30" i="3" s="1"/>
  <c r="O30" i="3" s="1"/>
  <c r="L34" i="3"/>
  <c r="M34" i="3" s="1"/>
  <c r="N34" i="3" s="1"/>
  <c r="O34" i="3" s="1"/>
  <c r="L38" i="3"/>
  <c r="M38" i="3" s="1"/>
  <c r="N38" i="3" s="1"/>
  <c r="O38" i="3" s="1"/>
  <c r="L42" i="3"/>
  <c r="M42" i="3" s="1"/>
  <c r="N42" i="3" s="1"/>
  <c r="O42" i="3" s="1"/>
  <c r="L46" i="3"/>
  <c r="M46" i="3" s="1"/>
  <c r="N46" i="3" s="1"/>
  <c r="O46" i="3" s="1"/>
  <c r="L50" i="3"/>
  <c r="M50" i="3" s="1"/>
  <c r="N50" i="3" s="1"/>
  <c r="O50" i="3" s="1"/>
  <c r="L54" i="3"/>
  <c r="M54" i="3" s="1"/>
  <c r="N54" i="3" s="1"/>
  <c r="O54" i="3" s="1"/>
  <c r="L58" i="3"/>
  <c r="M58" i="3" s="1"/>
  <c r="N58" i="3" s="1"/>
  <c r="O58" i="3" s="1"/>
  <c r="L62" i="3"/>
  <c r="M62" i="3" s="1"/>
  <c r="N62" i="3" s="1"/>
  <c r="O62" i="3" s="1"/>
  <c r="L66" i="3"/>
  <c r="M66" i="3" s="1"/>
  <c r="N66" i="3" s="1"/>
  <c r="O66" i="3" s="1"/>
  <c r="L70" i="3"/>
  <c r="M70" i="3" s="1"/>
  <c r="N70" i="3" s="1"/>
  <c r="O70" i="3" s="1"/>
  <c r="L74" i="3"/>
  <c r="M74" i="3" s="1"/>
  <c r="N74" i="3" s="1"/>
  <c r="O74" i="3" s="1"/>
  <c r="L78" i="3"/>
  <c r="M78" i="3" s="1"/>
  <c r="N78" i="3" s="1"/>
  <c r="O78" i="3" s="1"/>
  <c r="L82" i="3"/>
  <c r="M82" i="3" s="1"/>
  <c r="N82" i="3" s="1"/>
  <c r="O82" i="3" s="1"/>
  <c r="L86" i="3"/>
  <c r="M86" i="3" s="1"/>
  <c r="N86" i="3" s="1"/>
  <c r="O86" i="3" s="1"/>
  <c r="L90" i="3"/>
  <c r="M90" i="3" s="1"/>
  <c r="N90" i="3" s="1"/>
  <c r="O90" i="3" s="1"/>
  <c r="L94" i="3"/>
  <c r="M94" i="3" s="1"/>
  <c r="N94" i="3" s="1"/>
  <c r="O94" i="3" s="1"/>
  <c r="L98" i="3"/>
  <c r="M98" i="3" s="1"/>
  <c r="N98" i="3" s="1"/>
  <c r="O98" i="3" s="1"/>
  <c r="L101" i="3"/>
  <c r="M101" i="3" s="1"/>
  <c r="N101" i="3" s="1"/>
  <c r="O101" i="3" s="1"/>
  <c r="L103" i="3"/>
  <c r="M103" i="3" s="1"/>
  <c r="N103" i="3" s="1"/>
  <c r="O103" i="3" s="1"/>
  <c r="L105" i="3"/>
  <c r="M105" i="3" s="1"/>
  <c r="N105" i="3" s="1"/>
  <c r="O105" i="3" s="1"/>
  <c r="L107" i="3"/>
  <c r="M107" i="3" s="1"/>
  <c r="N107" i="3" s="1"/>
  <c r="O107" i="3" s="1"/>
  <c r="L109" i="3"/>
  <c r="M109" i="3" s="1"/>
  <c r="N109" i="3" s="1"/>
  <c r="O109" i="3" s="1"/>
  <c r="L111" i="3"/>
  <c r="M111" i="3" s="1"/>
  <c r="N111" i="3" s="1"/>
  <c r="O111" i="3" s="1"/>
  <c r="L113" i="3"/>
  <c r="M113" i="3" s="1"/>
  <c r="N113" i="3" s="1"/>
  <c r="O113" i="3" s="1"/>
  <c r="L116" i="3"/>
  <c r="L118" i="3"/>
  <c r="L120" i="3"/>
  <c r="L122" i="3"/>
  <c r="M122" i="3" s="1"/>
  <c r="N122" i="3" s="1"/>
  <c r="O122" i="3" s="1"/>
  <c r="L124" i="3"/>
  <c r="L126" i="3"/>
  <c r="L128" i="3"/>
  <c r="L130" i="3"/>
  <c r="M130" i="3" s="1"/>
  <c r="N130" i="3" s="1"/>
  <c r="O130" i="3" s="1"/>
  <c r="L132" i="3"/>
  <c r="L134" i="3"/>
  <c r="L136" i="3"/>
  <c r="L138" i="3"/>
  <c r="M138" i="3" s="1"/>
  <c r="N138" i="3" s="1"/>
  <c r="O138" i="3" s="1"/>
  <c r="L140" i="3"/>
  <c r="M145" i="3"/>
  <c r="N145" i="3" s="1"/>
  <c r="O145" i="3" s="1"/>
  <c r="I145" i="3"/>
  <c r="L148" i="3"/>
  <c r="M148" i="3" s="1"/>
  <c r="N148" i="3" s="1"/>
  <c r="O148" i="3" s="1"/>
  <c r="M153" i="3"/>
  <c r="N153" i="3" s="1"/>
  <c r="O153" i="3" s="1"/>
  <c r="I153" i="3"/>
  <c r="L156" i="3"/>
  <c r="M161" i="3"/>
  <c r="N161" i="3" s="1"/>
  <c r="O161" i="3" s="1"/>
  <c r="I161" i="3"/>
  <c r="L164" i="3"/>
  <c r="M169" i="3"/>
  <c r="N169" i="3" s="1"/>
  <c r="O169" i="3" s="1"/>
  <c r="I169" i="3"/>
  <c r="L172" i="3"/>
  <c r="M143" i="3"/>
  <c r="N143" i="3" s="1"/>
  <c r="O143" i="3" s="1"/>
  <c r="I143" i="3"/>
  <c r="L146" i="3"/>
  <c r="M146" i="3" s="1"/>
  <c r="N146" i="3" s="1"/>
  <c r="O146" i="3" s="1"/>
  <c r="M151" i="3"/>
  <c r="N151" i="3" s="1"/>
  <c r="O151" i="3" s="1"/>
  <c r="I151" i="3"/>
  <c r="L154" i="3"/>
  <c r="M159" i="3"/>
  <c r="N159" i="3" s="1"/>
  <c r="O159" i="3" s="1"/>
  <c r="I159" i="3"/>
  <c r="L162" i="3"/>
  <c r="M167" i="3"/>
  <c r="N167" i="3" s="1"/>
  <c r="O167" i="3" s="1"/>
  <c r="I167" i="3"/>
  <c r="L170" i="3"/>
  <c r="M175" i="3"/>
  <c r="N175" i="3" s="1"/>
  <c r="O175" i="3" s="1"/>
  <c r="I175" i="3"/>
  <c r="L20" i="3"/>
  <c r="M20" i="3" s="1"/>
  <c r="N20" i="3" s="1"/>
  <c r="O20" i="3" s="1"/>
  <c r="L24" i="3"/>
  <c r="M24" i="3" s="1"/>
  <c r="N24" i="3" s="1"/>
  <c r="O24" i="3" s="1"/>
  <c r="L28" i="3"/>
  <c r="M28" i="3" s="1"/>
  <c r="N28" i="3" s="1"/>
  <c r="O28" i="3" s="1"/>
  <c r="L32" i="3"/>
  <c r="M32" i="3" s="1"/>
  <c r="N32" i="3" s="1"/>
  <c r="O32" i="3" s="1"/>
  <c r="L36" i="3"/>
  <c r="M36" i="3" s="1"/>
  <c r="N36" i="3" s="1"/>
  <c r="O36" i="3" s="1"/>
  <c r="L40" i="3"/>
  <c r="M40" i="3" s="1"/>
  <c r="N40" i="3" s="1"/>
  <c r="O40" i="3" s="1"/>
  <c r="L44" i="3"/>
  <c r="M44" i="3" s="1"/>
  <c r="N44" i="3" s="1"/>
  <c r="O44" i="3" s="1"/>
  <c r="L48" i="3"/>
  <c r="M48" i="3" s="1"/>
  <c r="N48" i="3" s="1"/>
  <c r="O48" i="3" s="1"/>
  <c r="L52" i="3"/>
  <c r="M52" i="3" s="1"/>
  <c r="N52" i="3" s="1"/>
  <c r="O52" i="3" s="1"/>
  <c r="L56" i="3"/>
  <c r="M56" i="3" s="1"/>
  <c r="N56" i="3" s="1"/>
  <c r="O56" i="3" s="1"/>
  <c r="L60" i="3"/>
  <c r="M60" i="3" s="1"/>
  <c r="N60" i="3" s="1"/>
  <c r="O60" i="3" s="1"/>
  <c r="L64" i="3"/>
  <c r="M64" i="3" s="1"/>
  <c r="N64" i="3" s="1"/>
  <c r="O64" i="3" s="1"/>
  <c r="L68" i="3"/>
  <c r="M68" i="3" s="1"/>
  <c r="N68" i="3" s="1"/>
  <c r="O68" i="3" s="1"/>
  <c r="L72" i="3"/>
  <c r="M72" i="3" s="1"/>
  <c r="N72" i="3" s="1"/>
  <c r="O72" i="3" s="1"/>
  <c r="L76" i="3"/>
  <c r="M76" i="3" s="1"/>
  <c r="N76" i="3" s="1"/>
  <c r="O76" i="3" s="1"/>
  <c r="L80" i="3"/>
  <c r="M80" i="3" s="1"/>
  <c r="N80" i="3" s="1"/>
  <c r="O80" i="3" s="1"/>
  <c r="L84" i="3"/>
  <c r="M84" i="3" s="1"/>
  <c r="N84" i="3" s="1"/>
  <c r="O84" i="3" s="1"/>
  <c r="L88" i="3"/>
  <c r="M88" i="3" s="1"/>
  <c r="N88" i="3" s="1"/>
  <c r="O88" i="3" s="1"/>
  <c r="L92" i="3"/>
  <c r="M92" i="3" s="1"/>
  <c r="N92" i="3" s="1"/>
  <c r="O92" i="3" s="1"/>
  <c r="L96" i="3"/>
  <c r="M96" i="3" s="1"/>
  <c r="N96" i="3" s="1"/>
  <c r="O96" i="3" s="1"/>
  <c r="L100" i="3"/>
  <c r="M100" i="3" s="1"/>
  <c r="N100" i="3" s="1"/>
  <c r="O100" i="3" s="1"/>
  <c r="L102" i="3"/>
  <c r="M102" i="3" s="1"/>
  <c r="N102" i="3" s="1"/>
  <c r="O102" i="3" s="1"/>
  <c r="L104" i="3"/>
  <c r="M104" i="3" s="1"/>
  <c r="N104" i="3" s="1"/>
  <c r="O104" i="3" s="1"/>
  <c r="L106" i="3"/>
  <c r="M106" i="3" s="1"/>
  <c r="N106" i="3" s="1"/>
  <c r="O106" i="3" s="1"/>
  <c r="L108" i="3"/>
  <c r="M108" i="3" s="1"/>
  <c r="N108" i="3" s="1"/>
  <c r="O108" i="3" s="1"/>
  <c r="L110" i="3"/>
  <c r="M110" i="3" s="1"/>
  <c r="N110" i="3" s="1"/>
  <c r="O110" i="3" s="1"/>
  <c r="L112" i="3"/>
  <c r="M112" i="3" s="1"/>
  <c r="N112" i="3" s="1"/>
  <c r="O112" i="3" s="1"/>
  <c r="L114" i="3"/>
  <c r="M114" i="3" s="1"/>
  <c r="N114" i="3" s="1"/>
  <c r="O114" i="3" s="1"/>
  <c r="M117" i="3"/>
  <c r="N117" i="3" s="1"/>
  <c r="O117" i="3" s="1"/>
  <c r="I117" i="3"/>
  <c r="M119" i="3"/>
  <c r="N119" i="3" s="1"/>
  <c r="O119" i="3" s="1"/>
  <c r="I119" i="3"/>
  <c r="M121" i="3"/>
  <c r="N121" i="3" s="1"/>
  <c r="O121" i="3" s="1"/>
  <c r="I121" i="3"/>
  <c r="M123" i="3"/>
  <c r="N123" i="3" s="1"/>
  <c r="O123" i="3" s="1"/>
  <c r="I123" i="3"/>
  <c r="M125" i="3"/>
  <c r="N125" i="3" s="1"/>
  <c r="O125" i="3" s="1"/>
  <c r="I125" i="3"/>
  <c r="M127" i="3"/>
  <c r="N127" i="3" s="1"/>
  <c r="O127" i="3" s="1"/>
  <c r="I127" i="3"/>
  <c r="M129" i="3"/>
  <c r="N129" i="3" s="1"/>
  <c r="O129" i="3" s="1"/>
  <c r="I129" i="3"/>
  <c r="M131" i="3"/>
  <c r="N131" i="3" s="1"/>
  <c r="O131" i="3" s="1"/>
  <c r="I131" i="3"/>
  <c r="M133" i="3"/>
  <c r="N133" i="3" s="1"/>
  <c r="O133" i="3" s="1"/>
  <c r="I133" i="3"/>
  <c r="M135" i="3"/>
  <c r="N135" i="3" s="1"/>
  <c r="O135" i="3" s="1"/>
  <c r="I135" i="3"/>
  <c r="M137" i="3"/>
  <c r="N137" i="3" s="1"/>
  <c r="O137" i="3" s="1"/>
  <c r="I137" i="3"/>
  <c r="M139" i="3"/>
  <c r="N139" i="3" s="1"/>
  <c r="O139" i="3" s="1"/>
  <c r="I139" i="3"/>
  <c r="M141" i="3"/>
  <c r="N141" i="3" s="1"/>
  <c r="O141" i="3" s="1"/>
  <c r="I141" i="3"/>
  <c r="L144" i="3"/>
  <c r="M149" i="3"/>
  <c r="N149" i="3" s="1"/>
  <c r="O149" i="3" s="1"/>
  <c r="I149" i="3"/>
  <c r="L152" i="3"/>
  <c r="M157" i="3"/>
  <c r="N157" i="3" s="1"/>
  <c r="O157" i="3" s="1"/>
  <c r="I157" i="3"/>
  <c r="L160" i="3"/>
  <c r="M160" i="3" s="1"/>
  <c r="N160" i="3" s="1"/>
  <c r="O160" i="3" s="1"/>
  <c r="M165" i="3"/>
  <c r="N165" i="3" s="1"/>
  <c r="O165" i="3" s="1"/>
  <c r="I165" i="3"/>
  <c r="L168" i="3"/>
  <c r="M173" i="3"/>
  <c r="N173" i="3" s="1"/>
  <c r="O173" i="3" s="1"/>
  <c r="I173" i="3"/>
  <c r="M9" i="4"/>
  <c r="K9" i="4"/>
  <c r="M116" i="3"/>
  <c r="N116" i="3" s="1"/>
  <c r="O116" i="3" s="1"/>
  <c r="M34" i="4"/>
  <c r="K34" i="4"/>
  <c r="M118" i="3"/>
  <c r="N118" i="3" s="1"/>
  <c r="O118" i="3" s="1"/>
  <c r="I118" i="3"/>
  <c r="M120" i="3"/>
  <c r="N120" i="3" s="1"/>
  <c r="O120" i="3" s="1"/>
  <c r="I120" i="3"/>
  <c r="I122" i="3"/>
  <c r="M124" i="3"/>
  <c r="N124" i="3" s="1"/>
  <c r="O124" i="3" s="1"/>
  <c r="I124" i="3"/>
  <c r="M126" i="3"/>
  <c r="N126" i="3" s="1"/>
  <c r="O126" i="3" s="1"/>
  <c r="I126" i="3"/>
  <c r="M128" i="3"/>
  <c r="N128" i="3" s="1"/>
  <c r="O128" i="3" s="1"/>
  <c r="I128" i="3"/>
  <c r="I130" i="3"/>
  <c r="M132" i="3"/>
  <c r="N132" i="3" s="1"/>
  <c r="O132" i="3" s="1"/>
  <c r="I132" i="3"/>
  <c r="M134" i="3"/>
  <c r="N134" i="3" s="1"/>
  <c r="O134" i="3" s="1"/>
  <c r="I134" i="3"/>
  <c r="M136" i="3"/>
  <c r="N136" i="3" s="1"/>
  <c r="O136" i="3" s="1"/>
  <c r="I136" i="3"/>
  <c r="I138" i="3"/>
  <c r="M140" i="3"/>
  <c r="N140" i="3" s="1"/>
  <c r="O140" i="3" s="1"/>
  <c r="I140" i="3"/>
  <c r="M142" i="3"/>
  <c r="N142" i="3" s="1"/>
  <c r="O142" i="3" s="1"/>
  <c r="I142" i="3"/>
  <c r="M144" i="3"/>
  <c r="N144" i="3" s="1"/>
  <c r="O144" i="3" s="1"/>
  <c r="I144" i="3"/>
  <c r="I146" i="3"/>
  <c r="I148" i="3"/>
  <c r="M150" i="3"/>
  <c r="N150" i="3" s="1"/>
  <c r="O150" i="3" s="1"/>
  <c r="I150" i="3"/>
  <c r="M152" i="3"/>
  <c r="N152" i="3" s="1"/>
  <c r="O152" i="3" s="1"/>
  <c r="I152" i="3"/>
  <c r="M154" i="3"/>
  <c r="N154" i="3" s="1"/>
  <c r="O154" i="3" s="1"/>
  <c r="I154" i="3"/>
  <c r="M156" i="3"/>
  <c r="N156" i="3" s="1"/>
  <c r="O156" i="3" s="1"/>
  <c r="I156" i="3"/>
  <c r="M158" i="3"/>
  <c r="N158" i="3" s="1"/>
  <c r="O158" i="3" s="1"/>
  <c r="I158" i="3"/>
  <c r="I160" i="3"/>
  <c r="M162" i="3"/>
  <c r="N162" i="3" s="1"/>
  <c r="O162" i="3" s="1"/>
  <c r="I162" i="3"/>
  <c r="M164" i="3"/>
  <c r="N164" i="3" s="1"/>
  <c r="O164" i="3" s="1"/>
  <c r="I164" i="3"/>
  <c r="M166" i="3"/>
  <c r="N166" i="3" s="1"/>
  <c r="O166" i="3" s="1"/>
  <c r="I166" i="3"/>
  <c r="M168" i="3"/>
  <c r="N168" i="3" s="1"/>
  <c r="O168" i="3" s="1"/>
  <c r="I168" i="3"/>
  <c r="M170" i="3"/>
  <c r="N170" i="3" s="1"/>
  <c r="O170" i="3" s="1"/>
  <c r="I170" i="3"/>
  <c r="M172" i="3"/>
  <c r="N172" i="3" s="1"/>
  <c r="O172" i="3" s="1"/>
  <c r="I172" i="3"/>
  <c r="M174" i="3"/>
  <c r="N174" i="3" s="1"/>
  <c r="O174" i="3" s="1"/>
  <c r="I174" i="3"/>
  <c r="M18" i="4"/>
  <c r="K18" i="4"/>
  <c r="N18" i="4" s="1"/>
  <c r="O18" i="4" s="1"/>
  <c r="P18" i="4" s="1"/>
  <c r="M32" i="4"/>
  <c r="K32" i="4"/>
  <c r="N32" i="4" s="1"/>
  <c r="O32" i="4" s="1"/>
  <c r="P32" i="4" s="1"/>
  <c r="L176" i="3"/>
  <c r="M176" i="3" s="1"/>
  <c r="N176" i="3" s="1"/>
  <c r="O176" i="3" s="1"/>
  <c r="K17" i="4"/>
  <c r="M17" i="4"/>
  <c r="N17" i="4" s="1"/>
  <c r="O17" i="4" s="1"/>
  <c r="P17" i="4" s="1"/>
  <c r="G108" i="4"/>
  <c r="N6" i="4"/>
  <c r="M7" i="4"/>
  <c r="K24" i="4"/>
  <c r="N24" i="4" s="1"/>
  <c r="O24" i="4" s="1"/>
  <c r="P24" i="4" s="1"/>
  <c r="M40" i="4"/>
  <c r="K40" i="4"/>
  <c r="L177" i="3"/>
  <c r="M177" i="3" s="1"/>
  <c r="N177" i="3" s="1"/>
  <c r="O177" i="3" s="1"/>
  <c r="L181" i="3"/>
  <c r="M181" i="3" s="1"/>
  <c r="N181" i="3" s="1"/>
  <c r="O181" i="3" s="1"/>
  <c r="L185" i="3"/>
  <c r="M185" i="3" s="1"/>
  <c r="N185" i="3" s="1"/>
  <c r="O185" i="3" s="1"/>
  <c r="L189" i="3"/>
  <c r="M189" i="3" s="1"/>
  <c r="N189" i="3" s="1"/>
  <c r="O189" i="3" s="1"/>
  <c r="L193" i="3"/>
  <c r="M193" i="3" s="1"/>
  <c r="N193" i="3" s="1"/>
  <c r="O193" i="3" s="1"/>
  <c r="L197" i="3"/>
  <c r="M197" i="3" s="1"/>
  <c r="N197" i="3" s="1"/>
  <c r="O197" i="3" s="1"/>
  <c r="L201" i="3"/>
  <c r="M201" i="3" s="1"/>
  <c r="N201" i="3" s="1"/>
  <c r="O201" i="3" s="1"/>
  <c r="N10" i="4"/>
  <c r="O10" i="4" s="1"/>
  <c r="P10" i="4" s="1"/>
  <c r="K13" i="4"/>
  <c r="N13" i="4"/>
  <c r="O13" i="4" s="1"/>
  <c r="P13" i="4" s="1"/>
  <c r="K14" i="4"/>
  <c r="N14" i="4" s="1"/>
  <c r="O14" i="4" s="1"/>
  <c r="P14" i="4" s="1"/>
  <c r="K15" i="4"/>
  <c r="M15" i="4"/>
  <c r="N15" i="4" s="1"/>
  <c r="O15" i="4" s="1"/>
  <c r="P15" i="4" s="1"/>
  <c r="M16" i="4"/>
  <c r="K16" i="4"/>
  <c r="K25" i="4"/>
  <c r="N25" i="4" s="1"/>
  <c r="O25" i="4" s="1"/>
  <c r="P25" i="4" s="1"/>
  <c r="K26" i="4"/>
  <c r="M28" i="4"/>
  <c r="K28" i="4"/>
  <c r="N29" i="4"/>
  <c r="O29" i="4" s="1"/>
  <c r="P29" i="4" s="1"/>
  <c r="K74" i="4"/>
  <c r="N74" i="4" s="1"/>
  <c r="O74" i="4" s="1"/>
  <c r="P74" i="4" s="1"/>
  <c r="M74" i="4"/>
  <c r="L188" i="3"/>
  <c r="M188" i="3" s="1"/>
  <c r="N188" i="3" s="1"/>
  <c r="O188" i="3" s="1"/>
  <c r="L192" i="3"/>
  <c r="M192" i="3" s="1"/>
  <c r="N192" i="3" s="1"/>
  <c r="O192" i="3" s="1"/>
  <c r="L196" i="3"/>
  <c r="M196" i="3" s="1"/>
  <c r="N196" i="3" s="1"/>
  <c r="O196" i="3" s="1"/>
  <c r="L200" i="3"/>
  <c r="M200" i="3" s="1"/>
  <c r="N200" i="3" s="1"/>
  <c r="O200" i="3" s="1"/>
  <c r="M11" i="4"/>
  <c r="N11" i="4" s="1"/>
  <c r="O11" i="4" s="1"/>
  <c r="P11" i="4" s="1"/>
  <c r="K19" i="4"/>
  <c r="K20" i="4"/>
  <c r="N20" i="4" s="1"/>
  <c r="O20" i="4" s="1"/>
  <c r="P20" i="4" s="1"/>
  <c r="K21" i="4"/>
  <c r="N21" i="4" s="1"/>
  <c r="O21" i="4" s="1"/>
  <c r="P21" i="4" s="1"/>
  <c r="K22" i="4"/>
  <c r="M22" i="4"/>
  <c r="N22" i="4" s="1"/>
  <c r="O22" i="4" s="1"/>
  <c r="P22" i="4" s="1"/>
  <c r="M23" i="4"/>
  <c r="K23" i="4"/>
  <c r="M36" i="4"/>
  <c r="N36" i="4" s="1"/>
  <c r="O36" i="4" s="1"/>
  <c r="P36" i="4" s="1"/>
  <c r="K37" i="4"/>
  <c r="N37" i="4"/>
  <c r="O37" i="4" s="1"/>
  <c r="P37" i="4" s="1"/>
  <c r="K56" i="4"/>
  <c r="M56" i="4"/>
  <c r="M67" i="4"/>
  <c r="K67" i="4"/>
  <c r="N67" i="4"/>
  <c r="O67" i="4" s="1"/>
  <c r="P67" i="4" s="1"/>
  <c r="N8" i="4"/>
  <c r="O8" i="4" s="1"/>
  <c r="P8" i="4" s="1"/>
  <c r="K12" i="4"/>
  <c r="N12" i="4" s="1"/>
  <c r="O12" i="4" s="1"/>
  <c r="P12" i="4" s="1"/>
  <c r="N19" i="4"/>
  <c r="O19" i="4" s="1"/>
  <c r="P19" i="4" s="1"/>
  <c r="N26" i="4"/>
  <c r="O26" i="4" s="1"/>
  <c r="P26" i="4" s="1"/>
  <c r="N30" i="4"/>
  <c r="O30" i="4" s="1"/>
  <c r="P30" i="4" s="1"/>
  <c r="K39" i="4"/>
  <c r="M39" i="4"/>
  <c r="N39" i="4" s="1"/>
  <c r="O39" i="4" s="1"/>
  <c r="P39" i="4" s="1"/>
  <c r="K44" i="4"/>
  <c r="M44" i="4"/>
  <c r="M45" i="4"/>
  <c r="K45" i="4"/>
  <c r="N45" i="4" s="1"/>
  <c r="O45" i="4" s="1"/>
  <c r="P45" i="4" s="1"/>
  <c r="K48" i="4"/>
  <c r="N48" i="4"/>
  <c r="O48" i="4" s="1"/>
  <c r="P48" i="4" s="1"/>
  <c r="M48" i="4"/>
  <c r="M49" i="4"/>
  <c r="N49" i="4" s="1"/>
  <c r="O49" i="4" s="1"/>
  <c r="P49" i="4" s="1"/>
  <c r="K49" i="4"/>
  <c r="K52" i="4"/>
  <c r="M52" i="4"/>
  <c r="M53" i="4"/>
  <c r="K53" i="4"/>
  <c r="K58" i="4"/>
  <c r="M58" i="4"/>
  <c r="K78" i="4"/>
  <c r="N78" i="4"/>
  <c r="O78" i="4" s="1"/>
  <c r="P78" i="4" s="1"/>
  <c r="M78" i="4"/>
  <c r="N31" i="4"/>
  <c r="O31" i="4" s="1"/>
  <c r="P31" i="4" s="1"/>
  <c r="K33" i="4"/>
  <c r="N33" i="4" s="1"/>
  <c r="O33" i="4" s="1"/>
  <c r="P33" i="4" s="1"/>
  <c r="M33" i="4"/>
  <c r="K42" i="4"/>
  <c r="N42" i="4" s="1"/>
  <c r="O42" i="4" s="1"/>
  <c r="P42" i="4" s="1"/>
  <c r="K60" i="4"/>
  <c r="N60" i="4"/>
  <c r="O60" i="4" s="1"/>
  <c r="P60" i="4" s="1"/>
  <c r="M60" i="4"/>
  <c r="K82" i="4"/>
  <c r="N82" i="4"/>
  <c r="O82" i="4" s="1"/>
  <c r="P82" i="4" s="1"/>
  <c r="M82" i="4"/>
  <c r="L108" i="4"/>
  <c r="K27" i="4"/>
  <c r="N27" i="4" s="1"/>
  <c r="O27" i="4" s="1"/>
  <c r="P27" i="4" s="1"/>
  <c r="K35" i="4"/>
  <c r="N35" i="4" s="1"/>
  <c r="O35" i="4" s="1"/>
  <c r="P35" i="4" s="1"/>
  <c r="M35" i="4"/>
  <c r="M38" i="4"/>
  <c r="N38" i="4" s="1"/>
  <c r="O38" i="4" s="1"/>
  <c r="P38" i="4" s="1"/>
  <c r="M43" i="4"/>
  <c r="K43" i="4"/>
  <c r="N43" i="4" s="1"/>
  <c r="O43" i="4" s="1"/>
  <c r="P43" i="4" s="1"/>
  <c r="K46" i="4"/>
  <c r="N46" i="4"/>
  <c r="O46" i="4" s="1"/>
  <c r="P46" i="4" s="1"/>
  <c r="M46" i="4"/>
  <c r="M47" i="4"/>
  <c r="K47" i="4"/>
  <c r="N47" i="4"/>
  <c r="O47" i="4" s="1"/>
  <c r="P47" i="4" s="1"/>
  <c r="K50" i="4"/>
  <c r="M50" i="4"/>
  <c r="M51" i="4"/>
  <c r="K51" i="4"/>
  <c r="N51" i="4" s="1"/>
  <c r="O51" i="4" s="1"/>
  <c r="P51" i="4" s="1"/>
  <c r="K54" i="4"/>
  <c r="N54" i="4"/>
  <c r="O54" i="4" s="1"/>
  <c r="P54" i="4" s="1"/>
  <c r="M54" i="4"/>
  <c r="K62" i="4"/>
  <c r="N62" i="4" s="1"/>
  <c r="O62" i="4" s="1"/>
  <c r="P62" i="4" s="1"/>
  <c r="M62" i="4"/>
  <c r="K66" i="4"/>
  <c r="N66" i="4"/>
  <c r="O66" i="4" s="1"/>
  <c r="P66" i="4" s="1"/>
  <c r="M68" i="4"/>
  <c r="Q6" i="6"/>
  <c r="R6" i="6" s="1"/>
  <c r="N6" i="6"/>
  <c r="K65" i="4"/>
  <c r="N65" i="4" s="1"/>
  <c r="O65" i="4" s="1"/>
  <c r="P65" i="4" s="1"/>
  <c r="N68" i="4"/>
  <c r="O68" i="4" s="1"/>
  <c r="P68" i="4" s="1"/>
  <c r="N69" i="4"/>
  <c r="O69" i="4" s="1"/>
  <c r="P69" i="4" s="1"/>
  <c r="M70" i="4"/>
  <c r="N70" i="4" s="1"/>
  <c r="O70" i="4" s="1"/>
  <c r="P70" i="4" s="1"/>
  <c r="K72" i="4"/>
  <c r="N72" i="4"/>
  <c r="O72" i="4" s="1"/>
  <c r="P72" i="4" s="1"/>
  <c r="K76" i="4"/>
  <c r="N76" i="4"/>
  <c r="O76" i="4" s="1"/>
  <c r="P76" i="4" s="1"/>
  <c r="K80" i="4"/>
  <c r="N80" i="4"/>
  <c r="O80" i="4" s="1"/>
  <c r="P80" i="4" s="1"/>
  <c r="M6" i="6"/>
  <c r="M20" i="6"/>
  <c r="Q20" i="6" s="1"/>
  <c r="R20" i="6" s="1"/>
  <c r="M22" i="6"/>
  <c r="N22" i="6" s="1"/>
  <c r="M24" i="6"/>
  <c r="Q24" i="6" s="1"/>
  <c r="R24" i="6" s="1"/>
  <c r="M64" i="4"/>
  <c r="N64" i="4" s="1"/>
  <c r="O64" i="4" s="1"/>
  <c r="P64" i="4" s="1"/>
  <c r="N19" i="6"/>
  <c r="N23" i="6"/>
  <c r="Q25" i="6"/>
  <c r="R25" i="6" s="1"/>
  <c r="M19" i="6"/>
  <c r="Q19" i="6" s="1"/>
  <c r="R19" i="6" s="1"/>
  <c r="M21" i="6"/>
  <c r="Q21" i="6" s="1"/>
  <c r="R21" i="6" s="1"/>
  <c r="M23" i="6"/>
  <c r="Q23" i="6" s="1"/>
  <c r="R23" i="6" s="1"/>
  <c r="M25" i="6"/>
  <c r="N25" i="6" s="1"/>
  <c r="N84" i="4"/>
  <c r="O84" i="4" s="1"/>
  <c r="P84" i="4" s="1"/>
  <c r="N86" i="4"/>
  <c r="O86" i="4" s="1"/>
  <c r="P86" i="4" s="1"/>
  <c r="N88" i="4"/>
  <c r="O88" i="4" s="1"/>
  <c r="P88" i="4" s="1"/>
  <c r="N90" i="4"/>
  <c r="O90" i="4" s="1"/>
  <c r="P90" i="4" s="1"/>
  <c r="N92" i="4"/>
  <c r="O92" i="4" s="1"/>
  <c r="P92" i="4" s="1"/>
  <c r="N94" i="4"/>
  <c r="O94" i="4" s="1"/>
  <c r="P94" i="4" s="1"/>
  <c r="N96" i="4"/>
  <c r="O96" i="4" s="1"/>
  <c r="P96" i="4" s="1"/>
  <c r="N98" i="4"/>
  <c r="O98" i="4" s="1"/>
  <c r="P98" i="4" s="1"/>
  <c r="N100" i="4"/>
  <c r="O100" i="4" s="1"/>
  <c r="P100" i="4" s="1"/>
  <c r="N102" i="4"/>
  <c r="O102" i="4" s="1"/>
  <c r="P102" i="4" s="1"/>
  <c r="M97" i="4"/>
  <c r="M99" i="4"/>
  <c r="M101" i="4"/>
  <c r="M103" i="4"/>
  <c r="M105" i="4"/>
  <c r="M107" i="4"/>
  <c r="N53" i="4" l="1"/>
  <c r="O53" i="4" s="1"/>
  <c r="P53" i="4" s="1"/>
  <c r="N56" i="4"/>
  <c r="O56" i="4" s="1"/>
  <c r="P56" i="4" s="1"/>
  <c r="N16" i="4"/>
  <c r="O16" i="4" s="1"/>
  <c r="P16" i="4" s="1"/>
  <c r="N34" i="4"/>
  <c r="O34" i="4" s="1"/>
  <c r="P34" i="4" s="1"/>
  <c r="N55" i="4"/>
  <c r="O55" i="4" s="1"/>
  <c r="P55" i="4" s="1"/>
  <c r="N58" i="4"/>
  <c r="O58" i="4" s="1"/>
  <c r="P58" i="4" s="1"/>
  <c r="N23" i="4"/>
  <c r="O23" i="4" s="1"/>
  <c r="P23" i="4" s="1"/>
  <c r="N28" i="4"/>
  <c r="O28" i="4" s="1"/>
  <c r="P28" i="4" s="1"/>
  <c r="N40" i="4"/>
  <c r="O40" i="4" s="1"/>
  <c r="P40" i="4" s="1"/>
  <c r="N9" i="4"/>
  <c r="O9" i="4" s="1"/>
  <c r="P9" i="4" s="1"/>
  <c r="N50" i="4"/>
  <c r="O50" i="4" s="1"/>
  <c r="P50" i="4" s="1"/>
  <c r="N44" i="4"/>
  <c r="O44" i="4" s="1"/>
  <c r="P44" i="4" s="1"/>
  <c r="N57" i="4"/>
  <c r="O57" i="4" s="1"/>
  <c r="P57" i="4" s="1"/>
  <c r="N61" i="4"/>
  <c r="O61" i="4" s="1"/>
  <c r="P61" i="4" s="1"/>
  <c r="N52" i="4"/>
  <c r="O52" i="4" s="1"/>
  <c r="P52" i="4" s="1"/>
  <c r="N59" i="4"/>
  <c r="O59" i="4" s="1"/>
  <c r="P59" i="4" s="1"/>
  <c r="M108" i="4"/>
  <c r="N24" i="6"/>
  <c r="N20" i="6"/>
  <c r="N7" i="4"/>
  <c r="O7" i="4" s="1"/>
  <c r="P7" i="4" s="1"/>
  <c r="Q22" i="6"/>
  <c r="R22" i="6" s="1"/>
  <c r="N21" i="6"/>
  <c r="O6" i="4"/>
  <c r="P6" i="4" s="1"/>
  <c r="K108" i="4"/>
  <c r="N108" i="4" l="1"/>
  <c r="O108" i="4" s="1"/>
</calcChain>
</file>

<file path=xl/sharedStrings.xml><?xml version="1.0" encoding="utf-8"?>
<sst xmlns="http://schemas.openxmlformats.org/spreadsheetml/2006/main" count="1947" uniqueCount="564">
  <si>
    <t>PLANILHA MESTRA WINNET — precificação, margem e frete em um lugar só</t>
  </si>
  <si>
    <t>Resumo</t>
  </si>
  <si>
    <t>Fotografia executiva das margens (23/07, tarifas reais). Me peça pra regenerar após grandes edições no Simulador.</t>
  </si>
  <si>
    <t>Simulador</t>
  </si>
  <si>
    <t>O coração: 113 SKUs × 2 regiões, vivo. Edite preços/custos/tarifas e vereditos recalculam. Filtre a coluna Veredito pra ver a fila vermelha.</t>
  </si>
  <si>
    <t>Novo_Produto</t>
  </si>
  <si>
    <t>Produto novo? Digite dimensões da caixa, peso, custo e margem alvo → ela devolve a classe de frete e o PREÇO SUGERIDO. Depois teste seu preço na coluna P e veja a margem/veredito.</t>
  </si>
  <si>
    <t>Ref_Frete</t>
  </si>
  <si>
    <t>Tabela de apoio (53 regiões × custo real e cobrança das 3 classes). Alimenta as outras abas — só edite se os modelos WN mudarem na Amazon.</t>
  </si>
  <si>
    <t>Classificação_Frete</t>
  </si>
  <si>
    <t>Os 113 SKUs com peso cubado e classe validada por cotação. Consulta e histórico das reclassificações.</t>
  </si>
  <si>
    <t>Registro_Vendas / Livro_Vendas</t>
  </si>
  <si>
    <t>Registro: cada venda com margem real (linhas prontas até a 105 — NUNCA use "Inserir linha"; pedido multi-SKU = uma linha por SKU, frete só na 1ª). Livro: histórico pedido a pedido com origem Ads/Orgânico e resumo mensal.</t>
  </si>
  <si>
    <t>Arquivos externos:</t>
  </si>
  <si>
    <t>Plano_Implementacao_Amazon_Ads (operação do Ads, semanal) · Modelos_Frete (arquivo morto/backup — valores já na Amazon) · Simulador v2 (obsoleto, pode excluir).</t>
  </si>
  <si>
    <t>RESUMO EXECUTIVO — pós-cirurgia completa (24/07)</t>
  </si>
  <si>
    <t>SP Interior = cenário real (maioria do volume). RS Capital = teste de estresse (região de MAIOR subsídio — abaixo da meta ali é efeito do frete competitivo escolhido, não erro de preço).</t>
  </si>
  <si>
    <t>CONTAGEM POR VEREDITO</t>
  </si>
  <si>
    <t>Veredito</t>
  </si>
  <si>
    <t>SP Interior (real)</t>
  </si>
  <si>
    <t>RS Capital (estresse)</t>
  </si>
  <si>
    <t>ACIMA DA META (&gt;20%)</t>
  </si>
  <si>
    <t>DENTRO DA META (15-20%)</t>
  </si>
  <si>
    <t>ABAIXO DA META (10-15%)</t>
  </si>
  <si>
    <t>CRÍTICO (&lt;10%)</t>
  </si>
  <si>
    <t>PREJUÍZO</t>
  </si>
  <si>
    <t>SP INTERIOR — 12 MENORES MARGENS (todas ≥15%: catálogo 100% saudável no cenário real)</t>
  </si>
  <si>
    <t>SKU</t>
  </si>
  <si>
    <t>Margem SP</t>
  </si>
  <si>
    <t>Lucro/venda</t>
  </si>
  <si>
    <t>EMB-05</t>
  </si>
  <si>
    <t>L2025-B</t>
  </si>
  <si>
    <t>Q2430-B</t>
  </si>
  <si>
    <t>L1623-T</t>
  </si>
  <si>
    <t>L1618-A</t>
  </si>
  <si>
    <t>SP-PP</t>
  </si>
  <si>
    <t>L2430-B</t>
  </si>
  <si>
    <t>L1618-T</t>
  </si>
  <si>
    <t>L2450-AML</t>
  </si>
  <si>
    <t>L2430-AML</t>
  </si>
  <si>
    <t>L2425-B</t>
  </si>
  <si>
    <t>L2430-A</t>
  </si>
  <si>
    <t>RS CAPITAL — 10 QUE MAIS SOFREM NO ESTRESSE (efeito do subsídio; reavaliar em 30 dias com vendas reais)</t>
  </si>
  <si>
    <t>Margem RS</t>
  </si>
  <si>
    <t>L1618</t>
  </si>
  <si>
    <t>L2025</t>
  </si>
  <si>
    <t>L2030</t>
  </si>
  <si>
    <t>L1623</t>
  </si>
  <si>
    <t>L1623-A</t>
  </si>
  <si>
    <t>L2025-A</t>
  </si>
  <si>
    <t>SP — TOP 12 MAIS LUCRATIVOS (prioridade Ads/promoções)</t>
  </si>
  <si>
    <t>L2470-CZ</t>
  </si>
  <si>
    <t>P3060</t>
  </si>
  <si>
    <t>Q3060-A</t>
  </si>
  <si>
    <t>L4080-A</t>
  </si>
  <si>
    <t>L4090-A</t>
  </si>
  <si>
    <t>P3070ALC</t>
  </si>
  <si>
    <t>P3070</t>
  </si>
  <si>
    <t>P4060</t>
  </si>
  <si>
    <t>P4070</t>
  </si>
  <si>
    <t>PG4050</t>
  </si>
  <si>
    <t>P4080</t>
  </si>
  <si>
    <t>L4080-B</t>
  </si>
  <si>
    <t>AGUENTAM PROMOÇÃO 5% (margem SP ≥19%): 101 SKUs</t>
  </si>
  <si>
    <t>EGC · EMB-03 · EMB-03P · EMB-05P · EMB-08 · L1618 · L1618-B · L1623</t>
  </si>
  <si>
    <t>L1623-A · L1623-B · L2025 · L2025-A · L2025-T · L2030 · L2030-A · L2030-B</t>
  </si>
  <si>
    <t>L2030-T · L2425-A · L2425-AML · L2440-A · L2440-AML · L2440-B · L2450--CZ · L2450-A</t>
  </si>
  <si>
    <t>L2450-B · L2460-A · L2460-AML · L2460-B · L2460-CP · L2460-CZ · L2470-A · L2470-AML</t>
  </si>
  <si>
    <t>L2470-B · L2470-CZ · L3040-A · L3040-B · L3050-A · L3050-B · L3060-A · L3060-AML</t>
  </si>
  <si>
    <t>L3060-B · L3070-A · L3070-AML · L3070-B · L3085-B · L4050-A · L4050-B · L4060-A</t>
  </si>
  <si>
    <t>L4060-B · L4070-B · L4075-B · L4080-A · L4080-B · L4090-A · L4090-B · P1623</t>
  </si>
  <si>
    <t>P2025 · P2030 · P2425 · P2430 · P2440 · P3040 · P3050 · P3050ALC</t>
  </si>
  <si>
    <t>P3060 · P3060ALC · P3070 · P3070ALC · P4050 · P4050ALC · P4060 · P4060ALC</t>
  </si>
  <si>
    <t>P4070 · P4070ALC · P4070RA · P4075 · P4075ALC · P4080 · P4080ALC · P4090</t>
  </si>
  <si>
    <t>P4090ALC · PG2450 · PG2460 · PG2470 · PG3060 · PG3070 · PG4050 · PG4080</t>
  </si>
  <si>
    <t>PQ-3060 · PXM · PXP · Q2430-A · Q2460-A · Q2460-B · Q3060-A · Q3060-B</t>
  </si>
  <si>
    <t>Q4070-A · Q4070-B · SP-01 · SP-FF · SP-T</t>
  </si>
  <si>
    <t>SIMULADOR DE MARGEM v3 — CATÁLOGO COMPLETO (113 SKUs × SP Interior + RS Capital)</t>
  </si>
  <si>
    <t>Tarifa estimada automaticamente (célula H3 × (preço+frete)); sobrescreva com o valor real do extrato quando tiver. Cupom em 0 (pós-corte).</t>
  </si>
  <si>
    <t>Impostos (%):</t>
  </si>
  <si>
    <t>Tarifa padrão Amazon (%):</t>
  </si>
  <si>
    <t>Classe</t>
  </si>
  <si>
    <t>Região</t>
  </si>
  <si>
    <t>Preço de venda (R$)</t>
  </si>
  <si>
    <t>Cupom (%)</t>
  </si>
  <si>
    <t>Custo do produto (R$)</t>
  </si>
  <si>
    <t>Tarifa Amazon (R$)</t>
  </si>
  <si>
    <t>Receita pós-cupom (R$)</t>
  </si>
  <si>
    <t>Tarifa (%)</t>
  </si>
  <si>
    <t>Frete cobrado (R$)</t>
  </si>
  <si>
    <t>Frete real (R$)</t>
  </si>
  <si>
    <t>Resultado do frete (R$)</t>
  </si>
  <si>
    <t>Lucro líquido (R$)</t>
  </si>
  <si>
    <t>Margem (%)</t>
  </si>
  <si>
    <t>Observação</t>
  </si>
  <si>
    <t>EMB-03</t>
  </si>
  <si>
    <t>Pequenos</t>
  </si>
  <si>
    <t>Rio Grande do Sul Capital</t>
  </si>
  <si>
    <t>São Paulo Interior</t>
  </si>
  <si>
    <t>EMB-03P</t>
  </si>
  <si>
    <t>Preço +R$50 conforme instrução Dianna. Custo 127,42 = estimativa (+30 s/ polida) — confirmar custo REAL da pintura com produção</t>
  </si>
  <si>
    <t>EMB-05P</t>
  </si>
  <si>
    <t>Preço +R$50 conforme instrução Dianna. Custo 154,46 = estimativa (+20 s/ polida) — confirmar custo REAL da pintura com produção</t>
  </si>
  <si>
    <t>EMB-08</t>
  </si>
  <si>
    <t>L1618-B</t>
  </si>
  <si>
    <t>L1623-B</t>
  </si>
  <si>
    <t>L2025-T</t>
  </si>
  <si>
    <t>L2030-A</t>
  </si>
  <si>
    <t>L2030-B</t>
  </si>
  <si>
    <t>L2030-T</t>
  </si>
  <si>
    <t>L2425-A</t>
  </si>
  <si>
    <t>L2425-AML</t>
  </si>
  <si>
    <t>L2440-A</t>
  </si>
  <si>
    <t>L2440-AML</t>
  </si>
  <si>
    <t>L2440-B</t>
  </si>
  <si>
    <t>L2450--CZ</t>
  </si>
  <si>
    <t>L2450-A</t>
  </si>
  <si>
    <t>L2450-B</t>
  </si>
  <si>
    <t>P1623</t>
  </si>
  <si>
    <t>P2025</t>
  </si>
  <si>
    <t>P2030</t>
  </si>
  <si>
    <t>P2425</t>
  </si>
  <si>
    <t>P2430</t>
  </si>
  <si>
    <t>P2440</t>
  </si>
  <si>
    <t>PG2450</t>
  </si>
  <si>
    <t>PXM</t>
  </si>
  <si>
    <t>PXP</t>
  </si>
  <si>
    <t>Q2430-A</t>
  </si>
  <si>
    <t>Conferir: Amazon=Pequenos, classificação v4 indicava Medios (~7,5 kg cubado)</t>
  </si>
  <si>
    <t>EGC</t>
  </si>
  <si>
    <t>Medios</t>
  </si>
  <si>
    <t>L2460-A</t>
  </si>
  <si>
    <t>L2460-AML</t>
  </si>
  <si>
    <t>L2460-B</t>
  </si>
  <si>
    <t>L2460-CP</t>
  </si>
  <si>
    <t>L2460-CZ</t>
  </si>
  <si>
    <t>L2470-A</t>
  </si>
  <si>
    <t>L2470-AML</t>
  </si>
  <si>
    <t>L2470-B</t>
  </si>
  <si>
    <t>L3040-A</t>
  </si>
  <si>
    <t>L3040-B</t>
  </si>
  <si>
    <t>L3050-A</t>
  </si>
  <si>
    <t>L3050-B</t>
  </si>
  <si>
    <t>L3060-A</t>
  </si>
  <si>
    <t>L3060-AML</t>
  </si>
  <si>
    <t>L3060-B</t>
  </si>
  <si>
    <t>L3070-A</t>
  </si>
  <si>
    <t>L3070-AML</t>
  </si>
  <si>
    <t>L3070-B</t>
  </si>
  <si>
    <t>L3085-B</t>
  </si>
  <si>
    <t>L4050-A</t>
  </si>
  <si>
    <t>L4050-B</t>
  </si>
  <si>
    <t>L4060-A</t>
  </si>
  <si>
    <t>L4060-B</t>
  </si>
  <si>
    <t>P3040</t>
  </si>
  <si>
    <t>P3050</t>
  </si>
  <si>
    <t>P3050ALC</t>
  </si>
  <si>
    <t>P3060ALC</t>
  </si>
  <si>
    <t>P4050</t>
  </si>
  <si>
    <t>P4050ALC</t>
  </si>
  <si>
    <t>P4060ALC</t>
  </si>
  <si>
    <t>PG2460</t>
  </si>
  <si>
    <t>PG2470</t>
  </si>
  <si>
    <t>PG3060</t>
  </si>
  <si>
    <t>PG3070</t>
  </si>
  <si>
    <t>PQ-3060</t>
  </si>
  <si>
    <t>SEM ESTOQUE no momento</t>
  </si>
  <si>
    <t>Q2460-A</t>
  </si>
  <si>
    <t>Q2460-B</t>
  </si>
  <si>
    <t>Q3060-B</t>
  </si>
  <si>
    <t>SP-01</t>
  </si>
  <si>
    <t>SP-FF</t>
  </si>
  <si>
    <t>L4070-B</t>
  </si>
  <si>
    <t>Grandes</t>
  </si>
  <si>
    <t>L4075-B</t>
  </si>
  <si>
    <t>L4090-B</t>
  </si>
  <si>
    <t>P4070ALC</t>
  </si>
  <si>
    <t>P4070RA</t>
  </si>
  <si>
    <t>P4075</t>
  </si>
  <si>
    <t>P4075ALC</t>
  </si>
  <si>
    <t>P4080ALC</t>
  </si>
  <si>
    <t>P4090</t>
  </si>
  <si>
    <t>P4090ALC</t>
  </si>
  <si>
    <t>PG4080</t>
  </si>
  <si>
    <t>Q4070-A</t>
  </si>
  <si>
    <t>Q4070-B</t>
  </si>
  <si>
    <t>SP-T</t>
  </si>
  <si>
    <t>Classe Médios validada por cotação em 13/08. Conferir no Seller Central se o SKU SP-T já está atribuído ao modelo WN - Medios; a cobrança efetiva ao cliente depende da configuração vigente na Amazon.</t>
  </si>
  <si>
    <t>REGISTRO DE VENDAS — lucro real venda a venda</t>
  </si>
  <si>
    <t>Preencha as colunas AZUIS. PEDIDO COM VÁRIOS SKUs: uma linha por SKU (mesma data e nº de pedido), frete cobrado e frete real SÓ NA 1ª LINHA — nas demais digite 0 por cima. Tarifa: estimada; sobrescreva com a real do extrato.</t>
  </si>
  <si>
    <t>Imposto (%):</t>
  </si>
  <si>
    <t>Tarifa padrão (%):</t>
  </si>
  <si>
    <t>Data</t>
  </si>
  <si>
    <t>Qtd</t>
  </si>
  <si>
    <t>Região destino</t>
  </si>
  <si>
    <t>Preço unit. (R$)</t>
  </si>
  <si>
    <t>Desconto/promo total (R$)</t>
  </si>
  <si>
    <t>Receita produtos (R$)</t>
  </si>
  <si>
    <t>Frete cobrado do cliente (R$)</t>
  </si>
  <si>
    <t>Frete real pago (R$)</t>
  </si>
  <si>
    <t>Custo produtos (R$)</t>
  </si>
  <si>
    <t>Imposto (R$)</t>
  </si>
  <si>
    <t>LUCRO (R$)</t>
  </si>
  <si>
    <t>Margem</t>
  </si>
  <si>
    <t>Nº do Pedido / Obs</t>
  </si>
  <si>
    <t>Origem</t>
  </si>
  <si>
    <t>Distrito Federal</t>
  </si>
  <si>
    <t>Orgânico</t>
  </si>
  <si>
    <t>Minas Gerais Interior</t>
  </si>
  <si>
    <t>Geral DBA</t>
  </si>
  <si>
    <t>Ads</t>
  </si>
  <si>
    <t>São Paulo Capital</t>
  </si>
  <si>
    <t>Relatório Ads registra como L2425-B — conferir SKU</t>
  </si>
  <si>
    <t>Paraná Capital</t>
  </si>
  <si>
    <t>Preço da época (pré-reajuste; atual 104,90).</t>
  </si>
  <si>
    <t>Rio de Janeiro Capital</t>
  </si>
  <si>
    <t>auto - termo "coletor de pilhas"</t>
  </si>
  <si>
    <t>PI - ASIN B0G9B9RCMF</t>
  </si>
  <si>
    <t>Preço da época (pré-reajuste; atual 259,90). Relatório Ads registra como L2025 — conferir SKU</t>
  </si>
  <si>
    <t>auto - "suporte para guarda chuva"</t>
  </si>
  <si>
    <t>Órfã 26/06 identificada: 2× PXP (335,78)</t>
  </si>
  <si>
    <t>Rio Grande do Norte Capital</t>
  </si>
  <si>
    <t>PI - ASIN B0C5JTQBXF</t>
  </si>
  <si>
    <t>PI - ASIN B0CYWMQ93Y</t>
  </si>
  <si>
    <t>painel indica pedido em 01/07</t>
  </si>
  <si>
    <t>Goiás Capital</t>
  </si>
  <si>
    <t>Pedido conjunto Goiânia (PXP+PXM 02/07) — frete do pedido NESTA linha</t>
  </si>
  <si>
    <t>Mesmo pedido da linha 20 — frete zerado aqui</t>
  </si>
  <si>
    <t>Bahia Capital</t>
  </si>
  <si>
    <t>Código do catálogo é L2450--CZ (hífen duplo). Preencher região e frete real</t>
  </si>
  <si>
    <t>Preencher região e frete real</t>
  </si>
  <si>
    <t>Ceará Capital</t>
  </si>
  <si>
    <t>auto — "suporte p/ extintor de 6 kg" · região/frete a preencher</t>
  </si>
  <si>
    <t>Venda do termo "lixeira pia" (ACOS 48% — caso da O1)</t>
  </si>
  <si>
    <t>2ª venda do P3050 via Ads</t>
  </si>
  <si>
    <t>PI PXM · região/frete a preencher</t>
  </si>
  <si>
    <t>auto · região/frete a preencher</t>
  </si>
  <si>
    <t>Pedido Franca 701-0789914-6289838 · frete SÓ nesta linha (real a preencher)</t>
  </si>
  <si>
    <t>Pedido Franca — frete zerado (está na 1ª linha)</t>
  </si>
  <si>
    <t>Pernambuco Capital</t>
  </si>
  <si>
    <t>PROMOÇÃO 5% — 1º resgate · região/frete a preencher</t>
  </si>
  <si>
    <t>Rio de Janeiro Interior</t>
  </si>
  <si>
    <t>Relatório Ads atribui apenas 1 das 2 vendas de R$116 (a de 09/07); esta é orgânica</t>
  </si>
  <si>
    <t>1º de 2 pedidos do dia · região/frete a preencher</t>
  </si>
  <si>
    <t>2º pedido — divisão 1u/2u estimada · região/frete a preencher</t>
  </si>
  <si>
    <t>Alagoas Interior</t>
  </si>
  <si>
    <t>Paraíba Capital</t>
  </si>
  <si>
    <t>Minas Gerais Capital</t>
  </si>
  <si>
    <t>Mato Grosso do Sul Capital</t>
  </si>
  <si>
    <t>TOTAIS</t>
  </si>
  <si>
    <t>LIVRO DE VENDAS — 08/06 a 31/08 · Orgânico vs Ads</t>
  </si>
  <si>
    <t>Fonte: painel de vendas (total do site, por dia de PEDIDO) × relatório de produtos anunciados (vendas ATRIBUÍDAS ao Ads, por clique). Atribuição tem zona cinzenta: pedido com clique em anúncio até 14 dias antes conta como Ads. Datas de clique e pedido podem divergir.</t>
  </si>
  <si>
    <t>Valor (R$)</t>
  </si>
  <si>
    <t>Unid.</t>
  </si>
  <si>
    <t>SKU(s)</t>
  </si>
  <si>
    <t>Campanha / termo (quando conhecido)</t>
  </si>
  <si>
    <t>13/06</t>
  </si>
  <si>
    <t>18/06</t>
  </si>
  <si>
    <t>auto — "coletor de pilhas"</t>
  </si>
  <si>
    <t>20/06</t>
  </si>
  <si>
    <t>21/06</t>
  </si>
  <si>
    <t>PI — ASIN B0G9B9RCMF</t>
  </si>
  <si>
    <t>23/06</t>
  </si>
  <si>
    <t>L2025 (rel.) / L2450-AML (registro)</t>
  </si>
  <si>
    <t>auto — "lixeira banheiro 30l sem tampa inox" · conferir SKU</t>
  </si>
  <si>
    <t>24/06</t>
  </si>
  <si>
    <t>auto — "suporte para guarda chuva"</t>
  </si>
  <si>
    <t>26/06</t>
  </si>
  <si>
    <t>PXP ×2</t>
  </si>
  <si>
    <t>órfã identificada: 2 unidades do PXP</t>
  </si>
  <si>
    <t>29/06</t>
  </si>
  <si>
    <t>SP-01 + P3050</t>
  </si>
  <si>
    <t>PIs — B0C5JTQBXF / B0CYWMQ93Y</t>
  </si>
  <si>
    <t>01/07</t>
  </si>
  <si>
    <t>02/07</t>
  </si>
  <si>
    <t>PXP + PXM</t>
  </si>
  <si>
    <t>auto PXP + PXM</t>
  </si>
  <si>
    <t>03/07</t>
  </si>
  <si>
    <t>cinzeiro vendendo sozinho!</t>
  </si>
  <si>
    <t>04/07</t>
  </si>
  <si>
    <t>provável (sem atribuição p/ esta data)</t>
  </si>
  <si>
    <t>08/07</t>
  </si>
  <si>
    <t>PXM ×3</t>
  </si>
  <si>
    <t>auto — "suporte para extintor de 6 kg"</t>
  </si>
  <si>
    <t>09/07</t>
  </si>
  <si>
    <t>L1618-T + P3050</t>
  </si>
  <si>
    <t>"lixeira pia" (48% ACOS) + 2ª venda P3050</t>
  </si>
  <si>
    <t>20/07</t>
  </si>
  <si>
    <t>PI PXM</t>
  </si>
  <si>
    <t>21/07</t>
  </si>
  <si>
    <t>auto</t>
  </si>
  <si>
    <t>22/07</t>
  </si>
  <si>
    <t>L2025-B + L1623-B + 2× L2030 (Franca)</t>
  </si>
  <si>
    <t>PI L2030-B — ASIN B0DZV82N4P</t>
  </si>
  <si>
    <t>25/07</t>
  </si>
  <si>
    <t>L2030-B (DF)</t>
  </si>
  <si>
    <t>margem 43,7% registrada</t>
  </si>
  <si>
    <t>30/07</t>
  </si>
  <si>
    <t>EGC (RS)</t>
  </si>
  <si>
    <t>2ª venda orgânica do EGC</t>
  </si>
  <si>
    <t>31/07</t>
  </si>
  <si>
    <t>L2425-B ×2</t>
  </si>
  <si>
    <t>atribuída pelo relatório (você supunha orgânica) — conferir</t>
  </si>
  <si>
    <t>02/08</t>
  </si>
  <si>
    <t>Geral DBA — mineradora</t>
  </si>
  <si>
    <t>04/08</t>
  </si>
  <si>
    <t>PXP ×3</t>
  </si>
  <si>
    <t>1º resgate da promoção 5%</t>
  </si>
  <si>
    <t>05/08</t>
  </si>
  <si>
    <t>2ª venda de 116 — sem atribuição no relatório</t>
  </si>
  <si>
    <t>06/08</t>
  </si>
  <si>
    <t>L2025-T (2 pedidos)</t>
  </si>
  <si>
    <t>venda de hoje</t>
  </si>
  <si>
    <t>07/08</t>
  </si>
  <si>
    <t>Q4070-A ×4</t>
  </si>
  <si>
    <t>maior venda do mês — resgate promo 5% (receita real R$ 4.002,05 no Registro)</t>
  </si>
  <si>
    <t>08/08</t>
  </si>
  <si>
    <t>P3060 ×2</t>
  </si>
  <si>
    <t>3ª venda de 116</t>
  </si>
  <si>
    <t>11/08</t>
  </si>
  <si>
    <t>L2460-AML ×3</t>
  </si>
  <si>
    <t>resgate promo 5% (receita real R$ 826,98)</t>
  </si>
  <si>
    <t>1ª venda do P4080</t>
  </si>
  <si>
    <t>12/08</t>
  </si>
  <si>
    <t>PXM ×2</t>
  </si>
  <si>
    <t>sem atribuição nos 2 relatórios (Extintor atribui só a de 26/08)</t>
  </si>
  <si>
    <t>14/08</t>
  </si>
  <si>
    <t>16/08</t>
  </si>
  <si>
    <t>19/08</t>
  </si>
  <si>
    <t>20/08</t>
  </si>
  <si>
    <t>Q3060-A ×3</t>
  </si>
  <si>
    <t>Geral DBA — halo via Q2430-A (B0H7XXH5GV) CONFIRMADO; receita real R$ 1.654,48</t>
  </si>
  <si>
    <t>26/08</t>
  </si>
  <si>
    <t>Manual Extintor — exata</t>
  </si>
  <si>
    <t>29/08</t>
  </si>
  <si>
    <t>30/08</t>
  </si>
  <si>
    <t>31/08</t>
  </si>
  <si>
    <t>L2025-T ×2</t>
  </si>
  <si>
    <t>6B (piloto dinâmico) — 1ª venda da manual 6B</t>
  </si>
  <si>
    <t>L2450-AML ×3</t>
  </si>
  <si>
    <t>resgate promo 5%; preço atual 259,90</t>
  </si>
  <si>
    <t>RESUMO MENSAL</t>
  </si>
  <si>
    <t>Mês</t>
  </si>
  <si>
    <t>Total (R$)</t>
  </si>
  <si>
    <t>Ads (R$)</t>
  </si>
  <si>
    <t>Orgânico (R$)</t>
  </si>
  <si>
    <t>% Orgânico</t>
  </si>
  <si>
    <t>Junho (08-30)</t>
  </si>
  <si>
    <t>Julho</t>
  </si>
  <si>
    <t>Agosto</t>
  </si>
  <si>
    <t>TOTAL</t>
  </si>
  <si>
    <t>Nota de reconciliação (até 06/08): mapeamento pedido a pedido soma R$ 6.623,52 em Ads vs R$ 6.455,63 do relatório (diferença de ~R$ 168 = zona cinzenta do par PXP+PXM de 02/07). Fechamento Agosto (08/09/26): valores a preço de tabela (convenção do painel); 3 pedidos com promo 5% somam −R$ 341,24 vs receita real (Registro_Vendas preserva a real). Atribuição cruzada com Produtos Anunciados 25/07–23/08 + 08/08–06/09; sanidade fechada com Campaign export (Geral 9 compras = R$ 3.561,62, bijeção exata). Halo Q2430-A→Q3060-A confirmado. Atribuição valoriza a preço de tabela (MEMORIA 31/08).</t>
  </si>
  <si>
    <t>CALCULADORA DE PRODUTO NOVO — classe de frete + preço mínimo para a margem alvo</t>
  </si>
  <si>
    <t>Preencha as colunas AZUIS. A planilha calcula: peso cubado, classe de frete, fretes da região escolhida e o PREÇO SUGERIDO para bater a margem. Depois teste um preço à sua escolha na coluna P.</t>
  </si>
  <si>
    <t>Tarifa Amazon estimada (%):</t>
  </si>
  <si>
    <t>← média real do catálogo (11,7-14,8%)</t>
  </si>
  <si>
    <t>Fronteiras de classe validadas por cotação (17/07): Pequenos ≤ 5,5 kg cubado · Médios ≤ 18 kg · Grandes &gt; 18 kg (ex.: caixa 25×25×50 = 5,21 → Pequeno; 42×42×60 = 17,64 → Médio).</t>
  </si>
  <si>
    <t>Nome / SKU</t>
  </si>
  <si>
    <t>Compr. caixa (cm)</t>
  </si>
  <si>
    <t>Larg. (cm)</t>
  </si>
  <si>
    <t>Alt. (cm)</t>
  </si>
  <si>
    <t>Peso real (kg)</t>
  </si>
  <si>
    <t>Peso cubado (kg)</t>
  </si>
  <si>
    <t>Peso considerado (kg)</t>
  </si>
  <si>
    <t>Classe de frete</t>
  </si>
  <si>
    <t>Região de referência</t>
  </si>
  <si>
    <t>Margem alvo (%)</t>
  </si>
  <si>
    <t>PREÇO SUGERIDO (R$)</t>
  </si>
  <si>
    <t>Preço escolhido (R$)</t>
  </si>
  <si>
    <t>Margem no preço escolhido</t>
  </si>
  <si>
    <t>Lixeira nova 25x40 (exemplo)</t>
  </si>
  <si>
    <t>Custo real Pequenos</t>
  </si>
  <si>
    <t>Cobrança Pequenos</t>
  </si>
  <si>
    <t>Custo real Medios</t>
  </si>
  <si>
    <t>Cobrança Medios</t>
  </si>
  <si>
    <t>Custo real Grandes</t>
  </si>
  <si>
    <t>Cobrança Grandes</t>
  </si>
  <si>
    <t>Goiás Interior</t>
  </si>
  <si>
    <t>Mato Grosso do Sul Interior</t>
  </si>
  <si>
    <t>Mato Grosso Capital</t>
  </si>
  <si>
    <t>Mato Grosso Interior</t>
  </si>
  <si>
    <t>Acre Capital</t>
  </si>
  <si>
    <t>Acre Interior</t>
  </si>
  <si>
    <t>Amazonas Capital</t>
  </si>
  <si>
    <t>Amazonas Interior</t>
  </si>
  <si>
    <t>Amapá Capital</t>
  </si>
  <si>
    <t>Amapá Interior</t>
  </si>
  <si>
    <t>Pará Capital</t>
  </si>
  <si>
    <t>Pará Interior</t>
  </si>
  <si>
    <t>Rondônia Capital</t>
  </si>
  <si>
    <t>Rondônia Interior</t>
  </si>
  <si>
    <t>Roraima Capital</t>
  </si>
  <si>
    <t>Roraima Interior</t>
  </si>
  <si>
    <t>Tocantins Capital</t>
  </si>
  <si>
    <t>Tocantins Interior</t>
  </si>
  <si>
    <t>Alagoas Capital</t>
  </si>
  <si>
    <t>Bahia Interior</t>
  </si>
  <si>
    <t>Ceará Interior</t>
  </si>
  <si>
    <t>Maranhão Capital</t>
  </si>
  <si>
    <t>Maranhão Interior</t>
  </si>
  <si>
    <t>Paraíba Interior</t>
  </si>
  <si>
    <t>Pernambuco Interior</t>
  </si>
  <si>
    <t>Piauí Capital</t>
  </si>
  <si>
    <t>Piauí Interior</t>
  </si>
  <si>
    <t>Rio Grande do Norte Interior</t>
  </si>
  <si>
    <t>Sergipe Capital</t>
  </si>
  <si>
    <t>Sergipe Interior</t>
  </si>
  <si>
    <t>Paraná Interior</t>
  </si>
  <si>
    <t>Rio Grande do Sul Interior</t>
  </si>
  <si>
    <t>Santa Catarina Capital</t>
  </si>
  <si>
    <t>Santa Catarina Interior</t>
  </si>
  <si>
    <t>Espírito Santo Capital</t>
  </si>
  <si>
    <t>Espírito Santo Interior</t>
  </si>
  <si>
    <t>CLASSIFICAÇÃO DE FRETE — CATÁLOGO COMPLETO WINNET</t>
  </si>
  <si>
    <t>Peso cubado = (C×L×A em cm) ÷ 6.000. Peso considerado = maior entre real e cubado. Classes (fronteiras validadas por cotação em 17/07): Pequenos ≤ 5,5 kg · Médios ≤ 18 kg · Grandes &gt; 18 kg. Exceções operacionais documentadas na coluna Observação.</t>
  </si>
  <si>
    <t>Produto</t>
  </si>
  <si>
    <t>Caixa (cm)</t>
  </si>
  <si>
    <t>Modelo de envio</t>
  </si>
  <si>
    <t>Lixeira de Aço inox 24x40 20 litros c/Aro</t>
  </si>
  <si>
    <t>25×25×50</t>
  </si>
  <si>
    <t>WN - Pequenos</t>
  </si>
  <si>
    <t>Reclassificada Médio→Pequeno em 17/07 (cotações Campinas R$27-31 · Salvador R$55-62 · Cuiabá R$40-55)</t>
  </si>
  <si>
    <t>LIXEIRA EM AÇO INOX 24X40 20 LITROS C/ARO MEIA LUA</t>
  </si>
  <si>
    <t>Lixeira de Aço inox 24x40 20 litros c/Aro basculante</t>
  </si>
  <si>
    <t>Lixeira de Aço inox 24x50 25 litros c/Aro</t>
  </si>
  <si>
    <t>LIXEIRA EM AÇO INOX 24X50 25 LITROS C/ARO MEIA LUA</t>
  </si>
  <si>
    <t>Lixeira de Aço inox 24x50 25 litros c/Aro basculante</t>
  </si>
  <si>
    <t>LIXEIRA CINZEIRO EM AÇO INOX 24X50 25 LITROS</t>
  </si>
  <si>
    <t>Lixeira com Tampa Pedal de Aço inox 24x40 20 litros</t>
  </si>
  <si>
    <t>Porta guarda chuvas 24x50</t>
  </si>
  <si>
    <t>Lixeira de embutir de Pia em Aço inox 8 litros c/Balde de Alumínio</t>
  </si>
  <si>
    <t>32×32×27</t>
  </si>
  <si>
    <t>PORTA EXTINTOR 200X495</t>
  </si>
  <si>
    <t>20,5×20,5×50 (assumido)</t>
  </si>
  <si>
    <t>Dimensão '205X205X50' parece erro de digitação (alt. 50 mm?). Assumi 205X205X500 → confirmar</t>
  </si>
  <si>
    <t>Lixeira de Aço inox sem Tampa 20x30 10 litros</t>
  </si>
  <si>
    <t>25×25×30</t>
  </si>
  <si>
    <t>Lixeira de Aço inox 20x30 10 litros c/Aro</t>
  </si>
  <si>
    <t>Lixeira de Aço inox 20x30 10 litros c/Aro basculante</t>
  </si>
  <si>
    <t>Lixeira de Aço inox 20x30 10 litros com tampa</t>
  </si>
  <si>
    <t>Lixeira de Aço inox 24x25 13 litros c/Aro</t>
  </si>
  <si>
    <t>LIXEIRA EM AÇO INOX 24X25 13 LITROS C/ARO MEIA LUA</t>
  </si>
  <si>
    <t>Lixeira de Aço inox 24x25 13 litros c/Aro basculante</t>
  </si>
  <si>
    <t>Lixeira de Aço inox 24x30 15 litros c/Aro</t>
  </si>
  <si>
    <t>LIXEIRA EM AÇO INOX 24X30 15 LITROS C/ARO MEIA LUA</t>
  </si>
  <si>
    <t>Lixeira de Aço inox 24x30 15 litros c/Aro basculante</t>
  </si>
  <si>
    <t>Lixeira com Tampa Pedal de Aço inox 20x30 10 litros</t>
  </si>
  <si>
    <t>Lixeira com Tampa Pedal de Aço inox 24x25 12 litros</t>
  </si>
  <si>
    <t>Lixeira com Tampa Pedal de Aço inox 24x30 15 litros</t>
  </si>
  <si>
    <t>Lixeira de Aço inox Quadrada 24X30 Com Aro 15 litros</t>
  </si>
  <si>
    <t>Lixeira de Aço inox Quadrada 24X30 Com Aro BASCULANTE 15 litros</t>
  </si>
  <si>
    <t>Lixeira de embutir de Pia em Aço inox 5 litros c/Balde de Alumínio</t>
  </si>
  <si>
    <t>27×27×24</t>
  </si>
  <si>
    <t>PORTA EXTINTOR 160X310</t>
  </si>
  <si>
    <t>16×16×32</t>
  </si>
  <si>
    <t>Lixeira de embutir de Pia em Aço inox 3 litros c/Balde de Alumínio</t>
  </si>
  <si>
    <t>21×21×27</t>
  </si>
  <si>
    <t>Lixeira de Aço inox sem Tampa 16x18 03 litros</t>
  </si>
  <si>
    <t>Lixeira de Aço inox 16x18 03 litros c/Aro</t>
  </si>
  <si>
    <t>Lixeira de Aço inox 16x18 03 litros c/Aro basculante</t>
  </si>
  <si>
    <t>Lixeira de Aço inox 16x18 03 litros com tampa</t>
  </si>
  <si>
    <t>Lixeira de Aço inox sem Tampa 16x23 05 litros</t>
  </si>
  <si>
    <t>Lixeira de Aço inox 16x23 05 litros c/Aro</t>
  </si>
  <si>
    <t>Lixeira de Aço inox 16x23 05 litros c/Aro basculante</t>
  </si>
  <si>
    <t>Lixeira de Aço inox 16x23 05 litros com tampa</t>
  </si>
  <si>
    <t>Lixeira de Aço inox sem Tampa 20x25 07 litros</t>
  </si>
  <si>
    <t>Lixeira de Aço inox 20x25 07 litros c/Aro</t>
  </si>
  <si>
    <t>Lixeira de Aço inox 20x25 07 litros c/Aro basculante</t>
  </si>
  <si>
    <t>Lixeira de Aço inox 20x25 07 litros com tampa</t>
  </si>
  <si>
    <t>Lixeira com Tampa Pedal de Aço inox 16x23 05 litros</t>
  </si>
  <si>
    <t>Lixeira com Tampa Pedal de Aço inox 20x25 07 litros</t>
  </si>
  <si>
    <t>Coletor de cigarros SPACE PAREDE ø 0,76 X 50 Alt. AÇO INOX</t>
  </si>
  <si>
    <t>10×10×52</t>
  </si>
  <si>
    <t>Dimensões interpretadas em cm (padrão diferente do resto da planilha) — confirmar</t>
  </si>
  <si>
    <t>Lixeira de Aço inox 40x50 62 litros c/Aro</t>
  </si>
  <si>
    <t>42×42×60</t>
  </si>
  <si>
    <t>WN - Medios</t>
  </si>
  <si>
    <t>Reclassificada Grande→Médio em 17/07 (cotações Campinas R$64-68 · Salvador R$135-142 · Cuiabá R$111-142)</t>
  </si>
  <si>
    <t>Lixeira de Aço inox 40x50 62 litros c/Aro basculante</t>
  </si>
  <si>
    <t>Lixeira de Aço inox 40x60 75 litros c/Aro</t>
  </si>
  <si>
    <t>Lixeira de Aço inox 40x60 75 litros c/Aro basculante</t>
  </si>
  <si>
    <t>Lixeira com Tampa Pedal de Aço inox 40x50 65 litros</t>
  </si>
  <si>
    <t>Lixeira com Tampa Pedal de Aço inox 40x50 65 litros C/ALÇAS</t>
  </si>
  <si>
    <t>Lixeira com Tampa Pedal de Aço inox 40x60 75 litros</t>
  </si>
  <si>
    <t>Lixeira com Tampa Pedal de Aço inox 40x60 75 litros C/ALÇAS</t>
  </si>
  <si>
    <t>Porta guarda chuvas 40x50</t>
  </si>
  <si>
    <t>Coletor de cigarros SPACE TORRE 28 X 92 Alt. AÇO INOX</t>
  </si>
  <si>
    <t>33×33×93</t>
  </si>
  <si>
    <t>Médio CONFIRMADO por cotação em 13/08 (33×33×93, 5kg): Campinas R$ 65,45 · Salvador R$ 103,94 · Cuiabá R$ 126,93 — todos na faixa das caixas Médias validadas. Encerra a pendência da extrapolação de 17/07.</t>
  </si>
  <si>
    <t>Lixeira de Aço inox 30x85 60 litros c/Aro basculante</t>
  </si>
  <si>
    <t>31×31×78</t>
  </si>
  <si>
    <t>Coletor de cigarros SPACE 27 X 92 Alt. AÇO INOX</t>
  </si>
  <si>
    <t>28×28×92</t>
  </si>
  <si>
    <t>Coletor de cigarros SPACE FIXO 21 X 92 Alt. AÇO INOX</t>
  </si>
  <si>
    <t>Lixeira de Aço inox 30x70 50 litros c/Aro</t>
  </si>
  <si>
    <t>31×31×70</t>
  </si>
  <si>
    <t>LIXEIRA EM AÇO INOX 30X70 50 LITROS C/ARO MEIA LUA</t>
  </si>
  <si>
    <t>Lixeira de Aço inox 30x70 50 litros c/Aro basculante</t>
  </si>
  <si>
    <t>Lixeira com Tampa Pedal de Aço inox 30x70 60 litros</t>
  </si>
  <si>
    <t>Lixeira com Tampa Pedal de Aço inox 30x70 60 litros C/ALÇAS</t>
  </si>
  <si>
    <t>Porta guarda chuvas 30x70</t>
  </si>
  <si>
    <t>Ensacador de Guarda-chuvas Aço inox c/150 saquinhos 26 x 17 x 77</t>
  </si>
  <si>
    <t>28×28×78</t>
  </si>
  <si>
    <t>Lixeira de Aço inox 30x50 35 litros c/Aro</t>
  </si>
  <si>
    <t>31×31×60</t>
  </si>
  <si>
    <t>Lixeira de Aço inox 30x50 35 litros c/Aro basculante</t>
  </si>
  <si>
    <t>Lixeira de Aço inox 30x60 40 litros c/Aro</t>
  </si>
  <si>
    <t>LIXEIRA EM AÇO INOX 30X60 40 LITROS C/ARO MEIA LUA</t>
  </si>
  <si>
    <t>Lixeira de Aço inox 30x60 40 litros c/Aro basculante</t>
  </si>
  <si>
    <t>Lixeira com Tampa Pedal de Aço inox 30x50 40 litros</t>
  </si>
  <si>
    <t>Lixeira com Tampa Pedal de Aço inox 30x50 40 litros C/ALÇAS</t>
  </si>
  <si>
    <t>Lixeira com Tampa Pedal de Aço inox 30x60 50 litros</t>
  </si>
  <si>
    <t>Lixeira com Tampa Pedal de Aço inox 30x60 50 litros C/ALÇAS</t>
  </si>
  <si>
    <t>Porta guarda chuvas 30x60</t>
  </si>
  <si>
    <t>Lixeira quadrada com Tampa Pedal de Aço inox 30x60 50 litros</t>
  </si>
  <si>
    <t>Lixeira de Aço inox Quadrada 30X60 Com Aro 50 litros</t>
  </si>
  <si>
    <t>Lixeira de Aço inox Quadrada 30X60 Com Aro BASCULANTE 50 litros</t>
  </si>
  <si>
    <t>Lixeira de Aço inox 24x60 27 litros c/Aro</t>
  </si>
  <si>
    <t>25×25×70</t>
  </si>
  <si>
    <t>LIXEIRA EM AÇO INOX 24X60 27 LITROS C/ARO MEIA LUA</t>
  </si>
  <si>
    <t>Lixeira de Aço inox 24x60 27 litros c/Aro basculante</t>
  </si>
  <si>
    <t>Lixeira Aço inox Coletor de pilhas e baterias 24x60 27 litros</t>
  </si>
  <si>
    <t>LIXEIRA CINZEIRO EM AÇO INOX 24X60 27 LITROS</t>
  </si>
  <si>
    <t>Lixeira de Aço inox 24x70 30 litros c/Aro</t>
  </si>
  <si>
    <t>LIXEIRA EM AÇO INOX 24X70 30 LITROS C/ARO MEIA LUA</t>
  </si>
  <si>
    <t>Lixeira de Aço inox 24x70 30 litros c/Aro basculante</t>
  </si>
  <si>
    <t>LIXEIRA CINZEIRO EM AÇO INOX 24X70 30 LITROS</t>
  </si>
  <si>
    <t>Porta guarda chuvas 24x60</t>
  </si>
  <si>
    <t>Porta guarda chuvas 24x70</t>
  </si>
  <si>
    <t>Lixeira de Aço inox Quadrada 24X60 Com Aro 30 litros</t>
  </si>
  <si>
    <t>Lixeira de Aço inox Quadrada 24X60 Com Aro BASCULANTE 30 litros</t>
  </si>
  <si>
    <t>Lixeira de Aço inox 30x40 30 litros c/Aro</t>
  </si>
  <si>
    <t>31×31×40</t>
  </si>
  <si>
    <t>Lixeira de Aço inox 30x40 30 litros c/Aro basculante</t>
  </si>
  <si>
    <t>Lixeira com Tampa Pedal de Aço inox 30x40 30 litros</t>
  </si>
  <si>
    <t>Lixeira de Aço inox 40x90 120 litros c/Aro</t>
  </si>
  <si>
    <t>42×42×90</t>
  </si>
  <si>
    <t>WN - Grandes</t>
  </si>
  <si>
    <t>Lixeira de Aço inox 40x90 120 litros c/Aro basculante</t>
  </si>
  <si>
    <t>Lixeira com Tampa Pedal de Aço inox 40x90 120 litros</t>
  </si>
  <si>
    <t>Lixeira com Tampa Pedal de Aço inox 40x90 120 litros C/ALÇAS</t>
  </si>
  <si>
    <t>Lixeira de Aço inox 40x70 88 litros c/Aro basculante</t>
  </si>
  <si>
    <t>42×42×80</t>
  </si>
  <si>
    <t>Lixeira de Aço inox 40x75 95 litros c/Aro basculante</t>
  </si>
  <si>
    <t>Lixeira de Aço inox 40x80 100 litros c/Aro</t>
  </si>
  <si>
    <t>Lixeira de Aço inox 40x80 100 litros c/Aro basculante</t>
  </si>
  <si>
    <t>Lixeira com Tampa Pedal de Aço inox 40x70 80 litros</t>
  </si>
  <si>
    <t>Lixeira com Tampa Pedal de Aço inox 40x70 80 litros C/ALÇAS</t>
  </si>
  <si>
    <t>Lixeira com Tampa Pedal de Aço inox 40x70 80 litros c/rodizios e alças</t>
  </si>
  <si>
    <t>Lixeira com Tampa Pedal de Aço inox 40x75 95 litros</t>
  </si>
  <si>
    <t>Lixeira com Tampa Pedal de Aço inox 40x75 95 litros C/ALÇAS</t>
  </si>
  <si>
    <t>Lixeira com Tampa Pedal de Aço inox 40x80 100 litros</t>
  </si>
  <si>
    <t>Lixeira com Tampa Pedal de Aço inox 40x80 100 litros C/ALÇAS</t>
  </si>
  <si>
    <t>Porta guarda chuvas 40x80</t>
  </si>
  <si>
    <t>Lixeira de Aço inox Quadrada 40x70 Com Aro 100 litros</t>
  </si>
  <si>
    <t>Lixeira de Aço inox Quadrada 40x70 Com Aro BASCULANTE 100 litros</t>
  </si>
  <si>
    <t>RESUMO: 46 Pequenos · 49 Médios · 18 Grandes · Total 113 SKUs</t>
  </si>
  <si>
    <t>SKUs</t>
  </si>
  <si>
    <t>DEVOLUÇÃO</t>
  </si>
  <si>
    <t>STATUS</t>
  </si>
  <si>
    <t>VÁLIDO</t>
  </si>
  <si>
    <t>702-8393958-4950640 · devolução aprovada 09/09</t>
  </si>
  <si>
    <t>701-5825355-7110610 - devolução aprovada 17/09</t>
  </si>
  <si>
    <t xml:space="preserve">702-4604095-6119462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</si>
</sst>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&quot;R$ &quot;#,##0.00"/>
    <numFmt numFmtId="166" formatCode="m/d/yyyy"/>
  </numFmts>
  <fonts count="10" x14ac:knownFonts="1">
    <font>
      <sz val="11"/>
      <color theme="1"/>
      <name val="Calibri"/>
      <family val="2"/>
      <charset val="1"/>
    </font>
    <font>
      <b/>
      <sz val="13"/>
      <color rgb="FF1F3864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FF"/>
      <name val="Arial"/>
      <family val="2"/>
      <charset val="1"/>
    </font>
    <font>
      <i/>
      <sz val="10"/>
      <color rgb="FF0000FF"/>
      <name val="Arial"/>
      <family val="2"/>
      <charset val="1"/>
    </font>
    <font>
      <u/>
      <sz val="10"/>
      <color rgb="FF0000FF"/>
      <name val="Arial"/>
      <family val="2"/>
      <charset val="1"/>
    </font>
    <font>
      <u/>
      <sz val="1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E699"/>
        <bgColor rgb="FFFFFFCC"/>
      </patternFill>
    </fill>
    <fill>
      <patternFill patternType="solid">
        <fgColor rgb="FFFFC7CE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vertical="top" wrapText="1"/>
    </xf>
    <xf numFmtId="0" fontId="4" fillId="0" borderId="0" xfId="0" applyFont="1" applyAlignment="1"/>
    <xf numFmtId="0" fontId="5" fillId="2" borderId="1" xfId="0" applyFont="1" applyFill="1" applyBorder="1" applyAlignment="1"/>
    <xf numFmtId="0" fontId="2" fillId="3" borderId="1" xfId="0" applyFont="1" applyFill="1" applyBorder="1" applyAlignment="1"/>
    <xf numFmtId="0" fontId="3" fillId="0" borderId="1" xfId="0" applyFont="1" applyBorder="1" applyAlignment="1"/>
    <xf numFmtId="0" fontId="2" fillId="4" borderId="1" xfId="0" applyFont="1" applyFill="1" applyBorder="1" applyAlignment="1"/>
    <xf numFmtId="0" fontId="2" fillId="5" borderId="1" xfId="0" applyFont="1" applyFill="1" applyBorder="1" applyAlignment="1"/>
    <xf numFmtId="0" fontId="3" fillId="3" borderId="1" xfId="0" applyFont="1" applyFill="1" applyBorder="1" applyAlignment="1"/>
    <xf numFmtId="164" fontId="3" fillId="0" borderId="1" xfId="0" applyNumberFormat="1" applyFont="1" applyBorder="1" applyAlignment="1"/>
    <xf numFmtId="165" fontId="3" fillId="0" borderId="1" xfId="0" applyNumberFormat="1" applyFont="1" applyBorder="1" applyAlignment="1"/>
    <xf numFmtId="0" fontId="3" fillId="5" borderId="1" xfId="0" applyFont="1" applyFill="1" applyBorder="1" applyAlignment="1"/>
    <xf numFmtId="0" fontId="3" fillId="4" borderId="1" xfId="0" applyFont="1" applyFill="1" applyBorder="1" applyAlignment="1"/>
    <xf numFmtId="0" fontId="3" fillId="0" borderId="0" xfId="0" applyFont="1" applyAlignment="1"/>
    <xf numFmtId="164" fontId="6" fillId="6" borderId="1" xfId="0" applyNumberFormat="1" applyFont="1" applyFill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/>
    <xf numFmtId="165" fontId="6" fillId="0" borderId="1" xfId="0" applyNumberFormat="1" applyFont="1" applyBorder="1" applyAlignment="1"/>
    <xf numFmtId="164" fontId="6" fillId="0" borderId="1" xfId="0" applyNumberFormat="1" applyFont="1" applyBorder="1" applyAlignment="1"/>
    <xf numFmtId="0" fontId="2" fillId="0" borderId="1" xfId="0" applyFont="1" applyBorder="1" applyAlignment="1"/>
    <xf numFmtId="0" fontId="4" fillId="0" borderId="1" xfId="0" applyFont="1" applyBorder="1" applyAlignment="1">
      <alignment wrapText="1"/>
    </xf>
    <xf numFmtId="0" fontId="6" fillId="7" borderId="1" xfId="0" applyFont="1" applyFill="1" applyBorder="1" applyAlignment="1"/>
    <xf numFmtId="165" fontId="6" fillId="7" borderId="1" xfId="0" applyNumberFormat="1" applyFont="1" applyFill="1" applyBorder="1" applyAlignment="1"/>
    <xf numFmtId="164" fontId="6" fillId="7" borderId="1" xfId="0" applyNumberFormat="1" applyFont="1" applyFill="1" applyBorder="1" applyAlignment="1"/>
    <xf numFmtId="165" fontId="3" fillId="7" borderId="1" xfId="0" applyNumberFormat="1" applyFont="1" applyFill="1" applyBorder="1" applyAlignment="1"/>
    <xf numFmtId="164" fontId="3" fillId="7" borderId="1" xfId="0" applyNumberFormat="1" applyFont="1" applyFill="1" applyBorder="1" applyAlignment="1"/>
    <xf numFmtId="0" fontId="2" fillId="7" borderId="1" xfId="0" applyFont="1" applyFill="1" applyBorder="1" applyAlignment="1"/>
    <xf numFmtId="0" fontId="4" fillId="7" borderId="1" xfId="0" applyFont="1" applyFill="1" applyBorder="1" applyAlignment="1">
      <alignment wrapText="1"/>
    </xf>
    <xf numFmtId="0" fontId="0" fillId="7" borderId="0" xfId="0" applyFill="1" applyAlignment="1"/>
    <xf numFmtId="166" fontId="6" fillId="0" borderId="1" xfId="0" applyNumberFormat="1" applyFont="1" applyBorder="1" applyAlignment="1"/>
    <xf numFmtId="0" fontId="7" fillId="0" borderId="1" xfId="0" applyFont="1" applyBorder="1" applyAlignment="1"/>
    <xf numFmtId="165" fontId="7" fillId="0" borderId="1" xfId="0" applyNumberFormat="1" applyFont="1" applyBorder="1" applyAlignment="1"/>
    <xf numFmtId="165" fontId="2" fillId="3" borderId="1" xfId="0" applyNumberFormat="1" applyFont="1" applyFill="1" applyBorder="1" applyAlignment="1"/>
    <xf numFmtId="165" fontId="8" fillId="0" borderId="1" xfId="0" applyNumberFormat="1" applyFont="1" applyBorder="1" applyAlignment="1"/>
    <xf numFmtId="0" fontId="8" fillId="0" borderId="1" xfId="0" applyFont="1" applyBorder="1" applyAlignment="1"/>
    <xf numFmtId="165" fontId="9" fillId="0" borderId="1" xfId="0" applyNumberFormat="1" applyFont="1" applyBorder="1" applyAlignment="1"/>
    <xf numFmtId="165" fontId="2" fillId="0" borderId="1" xfId="0" applyNumberFormat="1" applyFont="1" applyBorder="1" applyAlignment="1"/>
    <xf numFmtId="164" fontId="2" fillId="0" borderId="1" xfId="0" applyNumberFormat="1" applyFont="1" applyBorder="1" applyAlignment="1"/>
    <xf numFmtId="166" fontId="0" fillId="0" borderId="0" xfId="0" applyNumberFormat="1" applyAlignment="1"/>
    <xf numFmtId="0" fontId="5" fillId="2" borderId="1" xfId="0" applyFont="1" applyFill="1" applyBorder="1" applyAlignment="1">
      <alignment horizontal="center" wrapText="1"/>
    </xf>
    <xf numFmtId="165" fontId="3" fillId="0" borderId="0" xfId="0" applyNumberFormat="1" applyFont="1" applyAlignment="1"/>
    <xf numFmtId="0" fontId="2" fillId="4" borderId="0" xfId="0" applyFont="1" applyFill="1" applyAlignment="1"/>
    <xf numFmtId="0" fontId="5" fillId="2" borderId="0" xfId="0" applyFont="1" applyFill="1" applyAlignment="1"/>
    <xf numFmtId="164" fontId="2" fillId="0" borderId="0" xfId="0" applyNumberFormat="1" applyFont="1" applyAlignment="1"/>
    <xf numFmtId="165" fontId="2" fillId="0" borderId="0" xfId="0" applyNumberFormat="1" applyFont="1" applyAlignment="1"/>
    <xf numFmtId="0" fontId="4" fillId="0" borderId="0" xfId="0" applyFont="1" applyAlignment="1">
      <alignment wrapText="1"/>
    </xf>
    <xf numFmtId="2" fontId="3" fillId="0" borderId="1" xfId="0" applyNumberFormat="1" applyFont="1" applyBorder="1" applyAlignment="1"/>
    <xf numFmtId="164" fontId="7" fillId="0" borderId="1" xfId="0" applyNumberFormat="1" applyFont="1" applyBorder="1" applyAlignment="1"/>
    <xf numFmtId="0" fontId="0" fillId="0" borderId="1" xfId="0" applyBorder="1" applyAlignment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Normal="100" workbookViewId="0"/>
  </sheetViews>
  <sheetFormatPr defaultColWidth="8.7109375" defaultRowHeight="15" x14ac:dyDescent="0.25"/>
  <cols>
    <col min="1" max="1" width="22" style="1" customWidth="1"/>
    <col min="2" max="2" width="120" style="1" customWidth="1"/>
  </cols>
  <sheetData>
    <row r="1" spans="1:2" ht="16.5" customHeight="1" x14ac:dyDescent="0.25">
      <c r="A1" s="2" t="s">
        <v>0</v>
      </c>
    </row>
    <row r="3" spans="1:2" ht="15" customHeight="1" x14ac:dyDescent="0.25">
      <c r="A3" s="3" t="s">
        <v>1</v>
      </c>
      <c r="B3" s="4" t="s">
        <v>2</v>
      </c>
    </row>
    <row r="4" spans="1:2" ht="15" customHeight="1" x14ac:dyDescent="0.25">
      <c r="A4" s="3" t="s">
        <v>3</v>
      </c>
      <c r="B4" s="4" t="s">
        <v>4</v>
      </c>
    </row>
    <row r="5" spans="1:2" ht="25.5" customHeight="1" x14ac:dyDescent="0.25">
      <c r="A5" s="3" t="s">
        <v>5</v>
      </c>
      <c r="B5" s="4" t="s">
        <v>6</v>
      </c>
    </row>
    <row r="6" spans="1:2" ht="25.5" customHeight="1" x14ac:dyDescent="0.25">
      <c r="A6" s="3" t="s">
        <v>7</v>
      </c>
      <c r="B6" s="4" t="s">
        <v>8</v>
      </c>
    </row>
    <row r="7" spans="1:2" ht="15" customHeight="1" x14ac:dyDescent="0.25">
      <c r="A7" s="3" t="s">
        <v>9</v>
      </c>
      <c r="B7" s="4" t="s">
        <v>10</v>
      </c>
    </row>
    <row r="8" spans="1:2" ht="15" customHeight="1" x14ac:dyDescent="0.25">
      <c r="A8" s="3" t="s">
        <v>11</v>
      </c>
      <c r="B8" s="4" t="s">
        <v>12</v>
      </c>
    </row>
    <row r="9" spans="1:2" ht="25.5" customHeight="1" x14ac:dyDescent="0.25">
      <c r="A9" s="3" t="s">
        <v>13</v>
      </c>
      <c r="B9" s="4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zoomScaleNormal="100" workbookViewId="0"/>
  </sheetViews>
  <sheetFormatPr defaultColWidth="8.7109375" defaultRowHeight="15" x14ac:dyDescent="0.25"/>
  <cols>
    <col min="1" max="1" width="70" style="1" customWidth="1"/>
    <col min="2" max="2" width="20" style="1" customWidth="1"/>
    <col min="3" max="3" width="16" style="1" customWidth="1"/>
  </cols>
  <sheetData>
    <row r="1" spans="1:3" ht="15.75" customHeight="1" x14ac:dyDescent="0.25">
      <c r="A1" s="2" t="s">
        <v>15</v>
      </c>
    </row>
    <row r="2" spans="1:3" ht="15" customHeight="1" x14ac:dyDescent="0.25">
      <c r="A2" s="5" t="s">
        <v>16</v>
      </c>
    </row>
    <row r="4" spans="1:3" ht="15" customHeight="1" x14ac:dyDescent="0.25">
      <c r="A4" s="3" t="s">
        <v>17</v>
      </c>
    </row>
    <row r="5" spans="1:3" ht="15" customHeight="1" x14ac:dyDescent="0.25">
      <c r="A5" s="6" t="s">
        <v>18</v>
      </c>
      <c r="B5" s="6" t="s">
        <v>19</v>
      </c>
      <c r="C5" s="6" t="s">
        <v>20</v>
      </c>
    </row>
    <row r="6" spans="1:3" ht="15" customHeight="1" x14ac:dyDescent="0.25">
      <c r="A6" s="7" t="s">
        <v>21</v>
      </c>
      <c r="B6" s="8">
        <v>77</v>
      </c>
      <c r="C6" s="8">
        <v>36</v>
      </c>
    </row>
    <row r="7" spans="1:3" ht="15" customHeight="1" x14ac:dyDescent="0.25">
      <c r="A7" s="7" t="s">
        <v>22</v>
      </c>
      <c r="B7" s="8">
        <v>36</v>
      </c>
      <c r="C7" s="8">
        <v>47</v>
      </c>
    </row>
    <row r="8" spans="1:3" ht="15" customHeight="1" x14ac:dyDescent="0.25">
      <c r="A8" s="9" t="s">
        <v>23</v>
      </c>
      <c r="B8" s="8">
        <v>0</v>
      </c>
      <c r="C8" s="8">
        <v>29</v>
      </c>
    </row>
    <row r="9" spans="1:3" ht="15" customHeight="1" x14ac:dyDescent="0.25">
      <c r="A9" s="10" t="s">
        <v>24</v>
      </c>
      <c r="B9" s="8">
        <v>0</v>
      </c>
      <c r="C9" s="8">
        <v>1</v>
      </c>
    </row>
    <row r="10" spans="1:3" ht="15" customHeight="1" x14ac:dyDescent="0.25">
      <c r="A10" s="10" t="s">
        <v>25</v>
      </c>
      <c r="B10" s="8">
        <v>0</v>
      </c>
      <c r="C10" s="8">
        <v>0</v>
      </c>
    </row>
    <row r="12" spans="1:3" ht="15" customHeight="1" x14ac:dyDescent="0.25">
      <c r="A12" s="3" t="s">
        <v>26</v>
      </c>
    </row>
    <row r="13" spans="1:3" ht="15" customHeight="1" x14ac:dyDescent="0.25">
      <c r="A13" s="6" t="s">
        <v>27</v>
      </c>
      <c r="B13" s="6" t="s">
        <v>28</v>
      </c>
      <c r="C13" s="6" t="s">
        <v>29</v>
      </c>
    </row>
    <row r="14" spans="1:3" ht="15" customHeight="1" x14ac:dyDescent="0.25">
      <c r="A14" s="11" t="s">
        <v>30</v>
      </c>
      <c r="B14" s="12">
        <v>0.16970191915067401</v>
      </c>
      <c r="C14" s="13">
        <v>41.56</v>
      </c>
    </row>
    <row r="15" spans="1:3" ht="15" customHeight="1" x14ac:dyDescent="0.25">
      <c r="A15" s="11" t="s">
        <v>31</v>
      </c>
      <c r="B15" s="12">
        <v>0.177269478198713</v>
      </c>
      <c r="C15" s="13">
        <v>24.8</v>
      </c>
    </row>
    <row r="16" spans="1:3" ht="15" customHeight="1" x14ac:dyDescent="0.25">
      <c r="A16" s="11" t="s">
        <v>32</v>
      </c>
      <c r="B16" s="12">
        <v>0.17918948521358199</v>
      </c>
      <c r="C16" s="13">
        <v>49.08</v>
      </c>
    </row>
    <row r="17" spans="1:3" ht="15" customHeight="1" x14ac:dyDescent="0.25">
      <c r="A17" s="11" t="s">
        <v>33</v>
      </c>
      <c r="B17" s="12">
        <v>0.17927055595900901</v>
      </c>
      <c r="C17" s="13">
        <v>22.216999999999999</v>
      </c>
    </row>
    <row r="18" spans="1:3" ht="15" customHeight="1" x14ac:dyDescent="0.25">
      <c r="A18" s="11" t="s">
        <v>34</v>
      </c>
      <c r="B18" s="12">
        <v>0.17988560533841799</v>
      </c>
      <c r="C18" s="13">
        <v>18.87</v>
      </c>
    </row>
    <row r="19" spans="1:3" ht="15" customHeight="1" x14ac:dyDescent="0.25">
      <c r="A19" s="11" t="s">
        <v>35</v>
      </c>
      <c r="B19" s="12">
        <v>0.183584971232189</v>
      </c>
      <c r="C19" s="13">
        <v>47.542999999999999</v>
      </c>
    </row>
    <row r="20" spans="1:3" ht="15" customHeight="1" x14ac:dyDescent="0.25">
      <c r="A20" s="11" t="s">
        <v>36</v>
      </c>
      <c r="B20" s="12">
        <v>0.183795384537696</v>
      </c>
      <c r="C20" s="13">
        <v>36.396999999999998</v>
      </c>
    </row>
    <row r="21" spans="1:3" ht="15" customHeight="1" x14ac:dyDescent="0.25">
      <c r="A21" s="11" t="s">
        <v>37</v>
      </c>
      <c r="B21" s="12">
        <v>0.184137931034483</v>
      </c>
      <c r="C21" s="13">
        <v>21.36</v>
      </c>
    </row>
    <row r="22" spans="1:3" ht="15" customHeight="1" x14ac:dyDescent="0.25">
      <c r="A22" s="11" t="s">
        <v>38</v>
      </c>
      <c r="B22" s="12">
        <v>0.18526356290881099</v>
      </c>
      <c r="C22" s="13">
        <v>48.15</v>
      </c>
    </row>
    <row r="23" spans="1:3" ht="15" customHeight="1" x14ac:dyDescent="0.25">
      <c r="A23" s="11" t="s">
        <v>39</v>
      </c>
      <c r="B23" s="12">
        <v>0.18568362309508499</v>
      </c>
      <c r="C23" s="13">
        <v>34.603999999999999</v>
      </c>
    </row>
    <row r="24" spans="1:3" ht="15" customHeight="1" x14ac:dyDescent="0.25">
      <c r="A24" s="11" t="s">
        <v>40</v>
      </c>
      <c r="B24" s="12">
        <v>0.186228721082497</v>
      </c>
      <c r="C24" s="13">
        <v>34.131999999999998</v>
      </c>
    </row>
    <row r="25" spans="1:3" ht="15" customHeight="1" x14ac:dyDescent="0.25">
      <c r="A25" s="11" t="s">
        <v>41</v>
      </c>
      <c r="B25" s="12">
        <v>0.187186957252507</v>
      </c>
      <c r="C25" s="13">
        <v>33.411000000000001</v>
      </c>
    </row>
    <row r="27" spans="1:3" ht="15" customHeight="1" x14ac:dyDescent="0.25">
      <c r="A27" s="3" t="s">
        <v>42</v>
      </c>
    </row>
    <row r="28" spans="1:3" ht="15" customHeight="1" x14ac:dyDescent="0.25">
      <c r="A28" s="6" t="s">
        <v>27</v>
      </c>
      <c r="B28" s="6" t="s">
        <v>43</v>
      </c>
      <c r="C28" s="6" t="s">
        <v>29</v>
      </c>
    </row>
    <row r="29" spans="1:3" ht="15" customHeight="1" x14ac:dyDescent="0.25">
      <c r="A29" s="14" t="s">
        <v>34</v>
      </c>
      <c r="B29" s="12">
        <v>9.8856053384175399E-2</v>
      </c>
      <c r="C29" s="13">
        <v>10.37</v>
      </c>
    </row>
    <row r="30" spans="1:3" ht="15" customHeight="1" x14ac:dyDescent="0.25">
      <c r="A30" s="15" t="s">
        <v>44</v>
      </c>
      <c r="B30" s="12">
        <v>0.108732694355698</v>
      </c>
      <c r="C30" s="13">
        <v>10.210000000000001</v>
      </c>
    </row>
    <row r="31" spans="1:3" ht="15" customHeight="1" x14ac:dyDescent="0.25">
      <c r="A31" s="15" t="s">
        <v>33</v>
      </c>
      <c r="B31" s="12">
        <v>0.110683450334867</v>
      </c>
      <c r="C31" s="13">
        <v>13.717000000000001</v>
      </c>
    </row>
    <row r="32" spans="1:3" ht="15" customHeight="1" x14ac:dyDescent="0.25">
      <c r="A32" s="15" t="s">
        <v>37</v>
      </c>
      <c r="B32" s="12">
        <v>0.11086206896551699</v>
      </c>
      <c r="C32" s="13">
        <v>12.86</v>
      </c>
    </row>
    <row r="33" spans="1:3" ht="15" customHeight="1" x14ac:dyDescent="0.25">
      <c r="A33" s="15" t="s">
        <v>31</v>
      </c>
      <c r="B33" s="12">
        <v>0.11651179413867099</v>
      </c>
      <c r="C33" s="13">
        <v>16.3</v>
      </c>
    </row>
    <row r="34" spans="1:3" ht="15" customHeight="1" x14ac:dyDescent="0.25">
      <c r="A34" s="15" t="s">
        <v>45</v>
      </c>
      <c r="B34" s="12">
        <v>0.117222173105826</v>
      </c>
      <c r="C34" s="13">
        <v>13.259</v>
      </c>
    </row>
    <row r="35" spans="1:3" ht="15" customHeight="1" x14ac:dyDescent="0.25">
      <c r="A35" s="15" t="s">
        <v>46</v>
      </c>
      <c r="B35" s="12">
        <v>0.120432813286361</v>
      </c>
      <c r="C35" s="13">
        <v>14.358000000000001</v>
      </c>
    </row>
    <row r="36" spans="1:3" ht="15" customHeight="1" x14ac:dyDescent="0.25">
      <c r="A36" s="15" t="s">
        <v>47</v>
      </c>
      <c r="B36" s="12">
        <v>0.12147406733394001</v>
      </c>
      <c r="C36" s="13">
        <v>13.35</v>
      </c>
    </row>
    <row r="37" spans="1:3" ht="15" customHeight="1" x14ac:dyDescent="0.25">
      <c r="A37" s="15" t="s">
        <v>48</v>
      </c>
      <c r="B37" s="12">
        <v>0.12671629445822999</v>
      </c>
      <c r="C37" s="13">
        <v>15.32</v>
      </c>
    </row>
    <row r="38" spans="1:3" ht="15" customHeight="1" x14ac:dyDescent="0.25">
      <c r="A38" s="15" t="s">
        <v>49</v>
      </c>
      <c r="B38" s="12">
        <v>0.12775605942142301</v>
      </c>
      <c r="C38" s="13">
        <v>16.34</v>
      </c>
    </row>
    <row r="40" spans="1:3" ht="15" customHeight="1" x14ac:dyDescent="0.25">
      <c r="A40" s="3" t="s">
        <v>50</v>
      </c>
    </row>
    <row r="41" spans="1:3" ht="15" customHeight="1" x14ac:dyDescent="0.25">
      <c r="A41" s="6" t="s">
        <v>27</v>
      </c>
      <c r="B41" s="6" t="s">
        <v>28</v>
      </c>
      <c r="C41" s="6" t="s">
        <v>29</v>
      </c>
    </row>
    <row r="42" spans="1:3" ht="15" customHeight="1" x14ac:dyDescent="0.25">
      <c r="A42" s="11" t="s">
        <v>51</v>
      </c>
      <c r="B42" s="12">
        <v>0.281588548975582</v>
      </c>
      <c r="C42" s="13">
        <v>100.33</v>
      </c>
    </row>
    <row r="43" spans="1:3" ht="15" customHeight="1" x14ac:dyDescent="0.25">
      <c r="A43" s="11" t="s">
        <v>52</v>
      </c>
      <c r="B43" s="12">
        <v>0.28031363654139502</v>
      </c>
      <c r="C43" s="13">
        <v>143.358</v>
      </c>
    </row>
    <row r="44" spans="1:3" ht="15" customHeight="1" x14ac:dyDescent="0.25">
      <c r="A44" s="11" t="s">
        <v>53</v>
      </c>
      <c r="B44" s="12">
        <v>0.27866051126576202</v>
      </c>
      <c r="C44" s="13">
        <v>161.768</v>
      </c>
    </row>
    <row r="45" spans="1:3" ht="15" customHeight="1" x14ac:dyDescent="0.25">
      <c r="A45" s="11" t="s">
        <v>54</v>
      </c>
      <c r="B45" s="12">
        <v>0.27281348270440298</v>
      </c>
      <c r="C45" s="13">
        <v>222.09200000000001</v>
      </c>
    </row>
    <row r="46" spans="1:3" ht="15" customHeight="1" x14ac:dyDescent="0.25">
      <c r="A46" s="11" t="s">
        <v>55</v>
      </c>
      <c r="B46" s="12">
        <v>0.27186296075738597</v>
      </c>
      <c r="C46" s="13">
        <v>223.697</v>
      </c>
    </row>
    <row r="47" spans="1:3" ht="15" customHeight="1" x14ac:dyDescent="0.25">
      <c r="A47" s="11" t="s">
        <v>56</v>
      </c>
      <c r="B47" s="12">
        <v>0.26228780795355899</v>
      </c>
      <c r="C47" s="13">
        <v>220.48699999999999</v>
      </c>
    </row>
    <row r="48" spans="1:3" ht="15" customHeight="1" x14ac:dyDescent="0.25">
      <c r="A48" s="11" t="s">
        <v>57</v>
      </c>
      <c r="B48" s="12">
        <v>0.25978123275666198</v>
      </c>
      <c r="C48" s="13">
        <v>160.072</v>
      </c>
    </row>
    <row r="49" spans="1:3" ht="15" customHeight="1" x14ac:dyDescent="0.25">
      <c r="A49" s="11" t="s">
        <v>58</v>
      </c>
      <c r="B49" s="12">
        <v>0.25719388132128002</v>
      </c>
      <c r="C49" s="13">
        <v>208.82599999999999</v>
      </c>
    </row>
    <row r="50" spans="1:3" ht="15" customHeight="1" x14ac:dyDescent="0.25">
      <c r="A50" s="11" t="s">
        <v>59</v>
      </c>
      <c r="B50" s="12">
        <v>0.25702104852855201</v>
      </c>
      <c r="C50" s="13">
        <v>211.00399999999999</v>
      </c>
    </row>
    <row r="51" spans="1:3" ht="15" customHeight="1" x14ac:dyDescent="0.25">
      <c r="A51" s="11" t="s">
        <v>60</v>
      </c>
      <c r="B51" s="12">
        <v>0.25364687472833197</v>
      </c>
      <c r="C51" s="13">
        <v>116.708</v>
      </c>
    </row>
    <row r="52" spans="1:3" ht="15" customHeight="1" x14ac:dyDescent="0.25">
      <c r="A52" s="11" t="s">
        <v>61</v>
      </c>
      <c r="B52" s="12">
        <v>0.25063588028070299</v>
      </c>
      <c r="C52" s="13">
        <v>268.22300000000001</v>
      </c>
    </row>
    <row r="53" spans="1:3" ht="15" customHeight="1" x14ac:dyDescent="0.25">
      <c r="A53" s="11" t="s">
        <v>62</v>
      </c>
      <c r="B53" s="12">
        <v>0.249457319567781</v>
      </c>
      <c r="C53" s="13">
        <v>207.31399999999999</v>
      </c>
    </row>
    <row r="55" spans="1:3" ht="15" customHeight="1" x14ac:dyDescent="0.25">
      <c r="A55" s="3" t="s">
        <v>63</v>
      </c>
    </row>
    <row r="56" spans="1:3" ht="15" customHeight="1" x14ac:dyDescent="0.25">
      <c r="A56" s="16" t="s">
        <v>64</v>
      </c>
    </row>
    <row r="57" spans="1:3" ht="15" customHeight="1" x14ac:dyDescent="0.25">
      <c r="A57" s="16" t="s">
        <v>65</v>
      </c>
    </row>
    <row r="58" spans="1:3" ht="15" customHeight="1" x14ac:dyDescent="0.25">
      <c r="A58" s="16" t="s">
        <v>66</v>
      </c>
    </row>
    <row r="59" spans="1:3" ht="15" customHeight="1" x14ac:dyDescent="0.25">
      <c r="A59" s="16" t="s">
        <v>67</v>
      </c>
    </row>
    <row r="60" spans="1:3" ht="15" customHeight="1" x14ac:dyDescent="0.25">
      <c r="A60" s="16" t="s">
        <v>68</v>
      </c>
    </row>
    <row r="61" spans="1:3" ht="15" customHeight="1" x14ac:dyDescent="0.25">
      <c r="A61" s="16" t="s">
        <v>69</v>
      </c>
    </row>
    <row r="62" spans="1:3" ht="15" customHeight="1" x14ac:dyDescent="0.25">
      <c r="A62" s="16" t="s">
        <v>70</v>
      </c>
    </row>
    <row r="63" spans="1:3" ht="15" customHeight="1" x14ac:dyDescent="0.25">
      <c r="A63" s="16" t="s">
        <v>71</v>
      </c>
    </row>
    <row r="64" spans="1:3" ht="15" customHeight="1" x14ac:dyDescent="0.25">
      <c r="A64" s="16" t="s">
        <v>72</v>
      </c>
    </row>
    <row r="65" spans="1:1" ht="15" customHeight="1" x14ac:dyDescent="0.25">
      <c r="A65" s="16" t="s">
        <v>73</v>
      </c>
    </row>
    <row r="66" spans="1:1" ht="15" customHeight="1" x14ac:dyDescent="0.25">
      <c r="A66" s="16" t="s">
        <v>74</v>
      </c>
    </row>
    <row r="67" spans="1:1" ht="15" customHeight="1" x14ac:dyDescent="0.25">
      <c r="A67" s="16" t="s">
        <v>75</v>
      </c>
    </row>
    <row r="68" spans="1:1" ht="15" customHeight="1" x14ac:dyDescent="0.25">
      <c r="A68" s="16" t="s">
        <v>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232"/>
  <sheetViews>
    <sheetView zoomScaleNormal="100" workbookViewId="0">
      <pane ySplit="6" topLeftCell="A180" activePane="bottomLeft" state="frozen"/>
      <selection pane="bottomLeft" activeCell="D241" sqref="D241"/>
    </sheetView>
  </sheetViews>
  <sheetFormatPr defaultColWidth="8.7109375" defaultRowHeight="15" x14ac:dyDescent="0.25"/>
  <cols>
    <col min="1" max="1" width="13" style="1" customWidth="1"/>
    <col min="2" max="2" width="10" style="1" customWidth="1"/>
    <col min="3" max="3" width="22" style="1" customWidth="1"/>
    <col min="4" max="4" width="12" style="1" customWidth="1"/>
    <col min="5" max="5" width="8" style="1" customWidth="1"/>
    <col min="6" max="6" width="13" style="1" customWidth="1"/>
    <col min="7" max="7" width="12" style="1" customWidth="1"/>
    <col min="8" max="8" width="13" style="1" customWidth="1"/>
    <col min="9" max="9" width="8" style="1" customWidth="1"/>
    <col min="10" max="10" width="12" style="1" customWidth="1"/>
    <col min="11" max="11" width="11" style="1" customWidth="1"/>
    <col min="12" max="12" width="13" style="1" customWidth="1"/>
    <col min="13" max="13" width="12" style="1" customWidth="1"/>
    <col min="14" max="14" width="10" style="1" customWidth="1"/>
    <col min="15" max="15" width="24" style="1" customWidth="1"/>
    <col min="16" max="16" width="45" style="1" customWidth="1"/>
  </cols>
  <sheetData>
    <row r="1" spans="1:16" ht="15.75" customHeight="1" x14ac:dyDescent="0.25">
      <c r="A1" s="2" t="s">
        <v>77</v>
      </c>
    </row>
    <row r="2" spans="1:16" ht="15" customHeight="1" x14ac:dyDescent="0.25">
      <c r="A2" s="5" t="s">
        <v>78</v>
      </c>
    </row>
    <row r="3" spans="1:16" ht="15" customHeight="1" x14ac:dyDescent="0.25">
      <c r="A3" s="3" t="s">
        <v>79</v>
      </c>
      <c r="B3" s="17">
        <v>0.1</v>
      </c>
      <c r="D3" s="3" t="s">
        <v>80</v>
      </c>
      <c r="H3" s="17"/>
    </row>
    <row r="6" spans="1:16" ht="23.25" customHeight="1" x14ac:dyDescent="0.25">
      <c r="A6" s="18" t="s">
        <v>27</v>
      </c>
      <c r="B6" s="18" t="s">
        <v>81</v>
      </c>
      <c r="C6" s="18" t="s">
        <v>82</v>
      </c>
      <c r="D6" s="18" t="s">
        <v>83</v>
      </c>
      <c r="E6" s="18" t="s">
        <v>84</v>
      </c>
      <c r="F6" s="18" t="s">
        <v>85</v>
      </c>
      <c r="G6" s="18" t="s">
        <v>86</v>
      </c>
      <c r="H6" s="18" t="s">
        <v>87</v>
      </c>
      <c r="I6" s="18" t="s">
        <v>88</v>
      </c>
      <c r="J6" s="18" t="s">
        <v>89</v>
      </c>
      <c r="K6" s="18" t="s">
        <v>90</v>
      </c>
      <c r="L6" s="18" t="s">
        <v>91</v>
      </c>
      <c r="M6" s="18" t="s">
        <v>92</v>
      </c>
      <c r="N6" s="18" t="s">
        <v>93</v>
      </c>
      <c r="O6" s="18" t="s">
        <v>18</v>
      </c>
      <c r="P6" s="18" t="s">
        <v>94</v>
      </c>
    </row>
    <row r="7" spans="1:16" ht="15" hidden="1" customHeight="1" x14ac:dyDescent="0.25">
      <c r="A7" s="19" t="s">
        <v>95</v>
      </c>
      <c r="B7" s="19" t="s">
        <v>96</v>
      </c>
      <c r="C7" s="19" t="s">
        <v>97</v>
      </c>
      <c r="D7" s="20">
        <v>195.21</v>
      </c>
      <c r="E7" s="21">
        <v>0</v>
      </c>
      <c r="F7" s="20">
        <v>97.42</v>
      </c>
      <c r="G7" s="13">
        <v>25.04</v>
      </c>
      <c r="H7" s="13">
        <f t="shared" ref="H7:H70" si="0">IF(D7="","",D7*(1-E7))</f>
        <v>195.21</v>
      </c>
      <c r="I7" s="12">
        <f t="shared" ref="I7:I70" si="1">IF(OR(G7="",H7=""),"",G7/H7)</f>
        <v>0.12827211720711029</v>
      </c>
      <c r="J7" s="13">
        <f>IF(OR(B7="",C7=""),"",INDEX(Ref_Frete!$B$2:$G$54,MATCH(C7,Ref_Frete!$A$2:$A$54,0),IF(B7="Pequenos",2,IF(B7="Medios",4,6))))</f>
        <v>24.9</v>
      </c>
      <c r="K7" s="13">
        <f>IF(OR(B7="",C7=""),"",INDEX(Ref_Frete!$B$2:$G$54,MATCH(C7,Ref_Frete!$A$2:$A$54,0),IF(B7="Pequenos",1,IF(B7="Medios",3,5))))</f>
        <v>46.5</v>
      </c>
      <c r="L7" s="13">
        <f t="shared" ref="L7:L70" si="2">IF(OR(J7="",K7=""),"",J7-K7)</f>
        <v>-21.6</v>
      </c>
      <c r="M7" s="13">
        <f t="shared" ref="M7:M70" si="3">IF(OR(H7="",F7="",G7=""),"",H7-G7-F7-H7*$B$3+IF(L7="",0,L7))</f>
        <v>31.629000000000012</v>
      </c>
      <c r="N7" s="12">
        <f t="shared" ref="N7:N70" si="4">IF(OR(M7="",H7=0,H7=""),"",M7/H7)</f>
        <v>0.16202551098816664</v>
      </c>
      <c r="O7" s="22" t="str">
        <f t="shared" ref="O7:O70" si="5">IF(N7="","",IF(N7&lt;0,"PREJUÍZO",IF(N7&lt;0.1,"CRÍTICO (&lt;10%)",IF(N7&lt;0.15,"ABAIXO DA META (10-15%)",IF(N7&lt;=0.2,"DENTRO DA META (15-20%)","ACIMA DA META (&gt;20%)")))))</f>
        <v>DENTRO DA META (15-20%)</v>
      </c>
      <c r="P7" s="23"/>
    </row>
    <row r="8" spans="1:16" ht="15" customHeight="1" x14ac:dyDescent="0.25">
      <c r="A8" s="19" t="s">
        <v>95</v>
      </c>
      <c r="B8" s="19" t="s">
        <v>96</v>
      </c>
      <c r="C8" s="19" t="s">
        <v>98</v>
      </c>
      <c r="D8" s="20">
        <v>195.21</v>
      </c>
      <c r="E8" s="21">
        <v>0</v>
      </c>
      <c r="F8" s="20">
        <v>97.42</v>
      </c>
      <c r="G8" s="13">
        <v>25.04</v>
      </c>
      <c r="H8" s="13">
        <f t="shared" si="0"/>
        <v>195.21</v>
      </c>
      <c r="I8" s="12">
        <f t="shared" si="1"/>
        <v>0.12827211720711029</v>
      </c>
      <c r="J8" s="13">
        <f>IF(OR(B8="",C8=""),"",INDEX(Ref_Frete!$B$2:$G$54,MATCH(C8,Ref_Frete!$A$2:$A$54,0),IF(B8="Pequenos",2,IF(B8="Medios",4,6))))</f>
        <v>16.899999999999999</v>
      </c>
      <c r="K8" s="13">
        <f>IF(OR(B8="",C8=""),"",INDEX(Ref_Frete!$B$2:$G$54,MATCH(C8,Ref_Frete!$A$2:$A$54,0),IF(B8="Pequenos",1,IF(B8="Medios",3,5))))</f>
        <v>30</v>
      </c>
      <c r="L8" s="13">
        <f t="shared" si="2"/>
        <v>-13.100000000000001</v>
      </c>
      <c r="M8" s="13">
        <f t="shared" si="3"/>
        <v>40.129000000000012</v>
      </c>
      <c r="N8" s="12">
        <f t="shared" si="4"/>
        <v>0.20556836227652278</v>
      </c>
      <c r="O8" s="22" t="str">
        <f t="shared" si="5"/>
        <v>ACIMA DA META (&gt;20%)</v>
      </c>
      <c r="P8" s="23"/>
    </row>
    <row r="9" spans="1:16" ht="21.75" hidden="1" customHeight="1" x14ac:dyDescent="0.25">
      <c r="A9" s="19" t="s">
        <v>99</v>
      </c>
      <c r="B9" s="19" t="s">
        <v>96</v>
      </c>
      <c r="C9" s="19" t="s">
        <v>97</v>
      </c>
      <c r="D9" s="20">
        <v>245.9</v>
      </c>
      <c r="E9" s="21">
        <v>0</v>
      </c>
      <c r="F9" s="20">
        <v>127.42</v>
      </c>
      <c r="G9" s="13">
        <v>31.41</v>
      </c>
      <c r="H9" s="13">
        <f t="shared" si="0"/>
        <v>245.9</v>
      </c>
      <c r="I9" s="12">
        <f t="shared" si="1"/>
        <v>0.1277348515656771</v>
      </c>
      <c r="J9" s="13">
        <f>IF(OR(B9="",C9=""),"",INDEX(Ref_Frete!$B$2:$G$54,MATCH(C9,Ref_Frete!$A$2:$A$54,0),IF(B9="Pequenos",2,IF(B9="Medios",4,6))))</f>
        <v>24.9</v>
      </c>
      <c r="K9" s="13">
        <f>IF(OR(B9="",C9=""),"",INDEX(Ref_Frete!$B$2:$G$54,MATCH(C9,Ref_Frete!$A$2:$A$54,0),IF(B9="Pequenos",1,IF(B9="Medios",3,5))))</f>
        <v>46.5</v>
      </c>
      <c r="L9" s="13">
        <f t="shared" si="2"/>
        <v>-21.6</v>
      </c>
      <c r="M9" s="13">
        <f t="shared" si="3"/>
        <v>40.880000000000003</v>
      </c>
      <c r="N9" s="12">
        <f t="shared" si="4"/>
        <v>0.1662464416429443</v>
      </c>
      <c r="O9" s="22" t="str">
        <f t="shared" si="5"/>
        <v>DENTRO DA META (15-20%)</v>
      </c>
      <c r="P9" s="23" t="s">
        <v>100</v>
      </c>
    </row>
    <row r="10" spans="1:16" ht="21.75" customHeight="1" x14ac:dyDescent="0.25">
      <c r="A10" s="19" t="s">
        <v>99</v>
      </c>
      <c r="B10" s="19" t="s">
        <v>96</v>
      </c>
      <c r="C10" s="19" t="s">
        <v>98</v>
      </c>
      <c r="D10" s="20">
        <v>245.9</v>
      </c>
      <c r="E10" s="21">
        <v>0</v>
      </c>
      <c r="F10" s="20">
        <v>127.42</v>
      </c>
      <c r="G10" s="13">
        <v>31.41</v>
      </c>
      <c r="H10" s="13">
        <f t="shared" si="0"/>
        <v>245.9</v>
      </c>
      <c r="I10" s="12">
        <f t="shared" si="1"/>
        <v>0.1277348515656771</v>
      </c>
      <c r="J10" s="13">
        <f>IF(OR(B10="",C10=""),"",INDEX(Ref_Frete!$B$2:$G$54,MATCH(C10,Ref_Frete!$A$2:$A$54,0),IF(B10="Pequenos",2,IF(B10="Medios",4,6))))</f>
        <v>16.899999999999999</v>
      </c>
      <c r="K10" s="13">
        <f>IF(OR(B10="",C10=""),"",INDEX(Ref_Frete!$B$2:$G$54,MATCH(C10,Ref_Frete!$A$2:$A$54,0),IF(B10="Pequenos",1,IF(B10="Medios",3,5))))</f>
        <v>30</v>
      </c>
      <c r="L10" s="13">
        <f t="shared" si="2"/>
        <v>-13.100000000000001</v>
      </c>
      <c r="M10" s="13">
        <f t="shared" si="3"/>
        <v>49.38</v>
      </c>
      <c r="N10" s="12">
        <f t="shared" si="4"/>
        <v>0.20081333875559171</v>
      </c>
      <c r="O10" s="22" t="str">
        <f t="shared" si="5"/>
        <v>ACIMA DA META (&gt;20%)</v>
      </c>
      <c r="P10" s="23" t="s">
        <v>100</v>
      </c>
    </row>
    <row r="11" spans="1:16" ht="15" hidden="1" customHeight="1" x14ac:dyDescent="0.25">
      <c r="A11" s="19" t="s">
        <v>30</v>
      </c>
      <c r="B11" s="19" t="s">
        <v>96</v>
      </c>
      <c r="C11" s="19" t="s">
        <v>97</v>
      </c>
      <c r="D11" s="20">
        <v>244.9</v>
      </c>
      <c r="E11" s="21">
        <v>0</v>
      </c>
      <c r="F11" s="20">
        <v>134.46</v>
      </c>
      <c r="G11" s="13">
        <v>31.29</v>
      </c>
      <c r="H11" s="13">
        <f t="shared" si="0"/>
        <v>244.9</v>
      </c>
      <c r="I11" s="12">
        <f t="shared" si="1"/>
        <v>0.12776643527970599</v>
      </c>
      <c r="J11" s="13">
        <f>IF(OR(B11="",C11=""),"",INDEX(Ref_Frete!$B$2:$G$54,MATCH(C11,Ref_Frete!$A$2:$A$54,0),IF(B11="Pequenos",2,IF(B11="Medios",4,6))))</f>
        <v>24.9</v>
      </c>
      <c r="K11" s="13">
        <f>IF(OR(B11="",C11=""),"",INDEX(Ref_Frete!$B$2:$G$54,MATCH(C11,Ref_Frete!$A$2:$A$54,0),IF(B11="Pequenos",1,IF(B11="Medios",3,5))))</f>
        <v>46.5</v>
      </c>
      <c r="L11" s="13">
        <f t="shared" si="2"/>
        <v>-21.6</v>
      </c>
      <c r="M11" s="13">
        <f t="shared" si="3"/>
        <v>33.06</v>
      </c>
      <c r="N11" s="12">
        <f t="shared" si="4"/>
        <v>0.13499387505104124</v>
      </c>
      <c r="O11" s="22" t="str">
        <f t="shared" si="5"/>
        <v>ABAIXO DA META (10-15%)</v>
      </c>
      <c r="P11" s="23"/>
    </row>
    <row r="12" spans="1:16" ht="15" hidden="1" customHeight="1" x14ac:dyDescent="0.25">
      <c r="A12" s="19" t="s">
        <v>30</v>
      </c>
      <c r="B12" s="19" t="s">
        <v>96</v>
      </c>
      <c r="C12" s="19" t="s">
        <v>98</v>
      </c>
      <c r="D12" s="20">
        <v>244.9</v>
      </c>
      <c r="E12" s="21">
        <v>0</v>
      </c>
      <c r="F12" s="20">
        <v>134.46</v>
      </c>
      <c r="G12" s="13">
        <v>31.29</v>
      </c>
      <c r="H12" s="13">
        <f t="shared" si="0"/>
        <v>244.9</v>
      </c>
      <c r="I12" s="12">
        <f t="shared" si="1"/>
        <v>0.12776643527970599</v>
      </c>
      <c r="J12" s="13">
        <f>IF(OR(B12="",C12=""),"",INDEX(Ref_Frete!$B$2:$G$54,MATCH(C12,Ref_Frete!$A$2:$A$54,0),IF(B12="Pequenos",2,IF(B12="Medios",4,6))))</f>
        <v>16.899999999999999</v>
      </c>
      <c r="K12" s="13">
        <f>IF(OR(B12="",C12=""),"",INDEX(Ref_Frete!$B$2:$G$54,MATCH(C12,Ref_Frete!$A$2:$A$54,0),IF(B12="Pequenos",1,IF(B12="Medios",3,5))))</f>
        <v>30</v>
      </c>
      <c r="L12" s="13">
        <f t="shared" si="2"/>
        <v>-13.100000000000001</v>
      </c>
      <c r="M12" s="13">
        <f t="shared" si="3"/>
        <v>41.56</v>
      </c>
      <c r="N12" s="12">
        <f t="shared" si="4"/>
        <v>0.16970191915067376</v>
      </c>
      <c r="O12" s="22" t="str">
        <f t="shared" si="5"/>
        <v>DENTRO DA META (15-20%)</v>
      </c>
      <c r="P12" s="23"/>
    </row>
    <row r="13" spans="1:16" ht="21.75" hidden="1" customHeight="1" x14ac:dyDescent="0.25">
      <c r="A13" s="19" t="s">
        <v>101</v>
      </c>
      <c r="B13" s="19" t="s">
        <v>96</v>
      </c>
      <c r="C13" s="19" t="s">
        <v>97</v>
      </c>
      <c r="D13" s="20">
        <v>290</v>
      </c>
      <c r="E13" s="21">
        <v>0</v>
      </c>
      <c r="F13" s="20">
        <v>154.46</v>
      </c>
      <c r="G13" s="13">
        <v>36.92</v>
      </c>
      <c r="H13" s="13">
        <f t="shared" si="0"/>
        <v>290</v>
      </c>
      <c r="I13" s="12">
        <f t="shared" si="1"/>
        <v>0.12731034482758621</v>
      </c>
      <c r="J13" s="13">
        <f>IF(OR(B13="",C13=""),"",INDEX(Ref_Frete!$B$2:$G$54,MATCH(C13,Ref_Frete!$A$2:$A$54,0),IF(B13="Pequenos",2,IF(B13="Medios",4,6))))</f>
        <v>24.9</v>
      </c>
      <c r="K13" s="13">
        <f>IF(OR(B13="",C13=""),"",INDEX(Ref_Frete!$B$2:$G$54,MATCH(C13,Ref_Frete!$A$2:$A$54,0),IF(B13="Pequenos",1,IF(B13="Medios",3,5))))</f>
        <v>46.5</v>
      </c>
      <c r="L13" s="13">
        <f t="shared" si="2"/>
        <v>-21.6</v>
      </c>
      <c r="M13" s="13">
        <f t="shared" si="3"/>
        <v>48.019999999999975</v>
      </c>
      <c r="N13" s="12">
        <f t="shared" si="4"/>
        <v>0.16558620689655162</v>
      </c>
      <c r="O13" s="22" t="str">
        <f t="shared" si="5"/>
        <v>DENTRO DA META (15-20%)</v>
      </c>
      <c r="P13" s="23" t="s">
        <v>102</v>
      </c>
    </row>
    <row r="14" spans="1:16" ht="21.75" customHeight="1" x14ac:dyDescent="0.25">
      <c r="A14" s="19" t="s">
        <v>101</v>
      </c>
      <c r="B14" s="19" t="s">
        <v>96</v>
      </c>
      <c r="C14" s="19" t="s">
        <v>98</v>
      </c>
      <c r="D14" s="20">
        <v>290</v>
      </c>
      <c r="E14" s="21">
        <v>0</v>
      </c>
      <c r="F14" s="20">
        <v>154.46</v>
      </c>
      <c r="G14" s="13">
        <v>36.92</v>
      </c>
      <c r="H14" s="13">
        <f t="shared" si="0"/>
        <v>290</v>
      </c>
      <c r="I14" s="12">
        <f t="shared" si="1"/>
        <v>0.12731034482758621</v>
      </c>
      <c r="J14" s="13">
        <f>IF(OR(B14="",C14=""),"",INDEX(Ref_Frete!$B$2:$G$54,MATCH(C14,Ref_Frete!$A$2:$A$54,0),IF(B14="Pequenos",2,IF(B14="Medios",4,6))))</f>
        <v>16.899999999999999</v>
      </c>
      <c r="K14" s="13">
        <f>IF(OR(B14="",C14=""),"",INDEX(Ref_Frete!$B$2:$G$54,MATCH(C14,Ref_Frete!$A$2:$A$54,0),IF(B14="Pequenos",1,IF(B14="Medios",3,5))))</f>
        <v>30</v>
      </c>
      <c r="L14" s="13">
        <f t="shared" si="2"/>
        <v>-13.100000000000001</v>
      </c>
      <c r="M14" s="13">
        <f t="shared" si="3"/>
        <v>56.519999999999975</v>
      </c>
      <c r="N14" s="12">
        <f t="shared" si="4"/>
        <v>0.19489655172413783</v>
      </c>
      <c r="O14" s="22" t="str">
        <f t="shared" si="5"/>
        <v>DENTRO DA META (15-20%)</v>
      </c>
      <c r="P14" s="23" t="s">
        <v>102</v>
      </c>
    </row>
    <row r="15" spans="1:16" ht="15" hidden="1" customHeight="1" x14ac:dyDescent="0.25">
      <c r="A15" s="19" t="s">
        <v>103</v>
      </c>
      <c r="B15" s="19" t="s">
        <v>96</v>
      </c>
      <c r="C15" s="19" t="s">
        <v>97</v>
      </c>
      <c r="D15" s="20">
        <v>344.76</v>
      </c>
      <c r="E15" s="21">
        <v>0</v>
      </c>
      <c r="F15" s="20">
        <v>181.23</v>
      </c>
      <c r="G15" s="13">
        <v>42.92</v>
      </c>
      <c r="H15" s="13">
        <f t="shared" si="0"/>
        <v>344.76</v>
      </c>
      <c r="I15" s="12">
        <f t="shared" si="1"/>
        <v>0.12449240051050006</v>
      </c>
      <c r="J15" s="13">
        <f>IF(OR(B15="",C15=""),"",INDEX(Ref_Frete!$B$2:$G$54,MATCH(C15,Ref_Frete!$A$2:$A$54,0),IF(B15="Pequenos",2,IF(B15="Medios",4,6))))</f>
        <v>24.9</v>
      </c>
      <c r="K15" s="13">
        <f>IF(OR(B15="",C15=""),"",INDEX(Ref_Frete!$B$2:$G$54,MATCH(C15,Ref_Frete!$A$2:$A$54,0),IF(B15="Pequenos",1,IF(B15="Medios",3,5))))</f>
        <v>46.5</v>
      </c>
      <c r="L15" s="13">
        <f t="shared" si="2"/>
        <v>-21.6</v>
      </c>
      <c r="M15" s="13">
        <f t="shared" si="3"/>
        <v>64.533999999999992</v>
      </c>
      <c r="N15" s="12">
        <f t="shared" si="4"/>
        <v>0.18718528831651002</v>
      </c>
      <c r="O15" s="22" t="str">
        <f t="shared" si="5"/>
        <v>DENTRO DA META (15-20%)</v>
      </c>
      <c r="P15" s="23"/>
    </row>
    <row r="16" spans="1:16" ht="15" customHeight="1" x14ac:dyDescent="0.25">
      <c r="A16" s="19" t="s">
        <v>103</v>
      </c>
      <c r="B16" s="19" t="s">
        <v>96</v>
      </c>
      <c r="C16" s="19" t="s">
        <v>98</v>
      </c>
      <c r="D16" s="20">
        <v>344.76</v>
      </c>
      <c r="E16" s="21">
        <v>0</v>
      </c>
      <c r="F16" s="20">
        <v>181.23</v>
      </c>
      <c r="G16" s="13">
        <v>42.92</v>
      </c>
      <c r="H16" s="13">
        <f t="shared" si="0"/>
        <v>344.76</v>
      </c>
      <c r="I16" s="12">
        <f t="shared" si="1"/>
        <v>0.12449240051050006</v>
      </c>
      <c r="J16" s="13">
        <f>IF(OR(B16="",C16=""),"",INDEX(Ref_Frete!$B$2:$G$54,MATCH(C16,Ref_Frete!$A$2:$A$54,0),IF(B16="Pequenos",2,IF(B16="Medios",4,6))))</f>
        <v>16.899999999999999</v>
      </c>
      <c r="K16" s="13">
        <f>IF(OR(B16="",C16=""),"",INDEX(Ref_Frete!$B$2:$G$54,MATCH(C16,Ref_Frete!$A$2:$A$54,0),IF(B16="Pequenos",1,IF(B16="Medios",3,5))))</f>
        <v>30</v>
      </c>
      <c r="L16" s="13">
        <f t="shared" si="2"/>
        <v>-13.100000000000001</v>
      </c>
      <c r="M16" s="13">
        <f t="shared" si="3"/>
        <v>73.033999999999992</v>
      </c>
      <c r="N16" s="12">
        <f t="shared" si="4"/>
        <v>0.21184012066365004</v>
      </c>
      <c r="O16" s="22" t="str">
        <f t="shared" si="5"/>
        <v>ACIMA DA META (&gt;20%)</v>
      </c>
      <c r="P16" s="23"/>
    </row>
    <row r="17" spans="1:16" ht="15" hidden="1" customHeight="1" x14ac:dyDescent="0.25">
      <c r="A17" s="19" t="s">
        <v>44</v>
      </c>
      <c r="B17" s="19" t="s">
        <v>96</v>
      </c>
      <c r="C17" s="19" t="s">
        <v>97</v>
      </c>
      <c r="D17" s="20">
        <v>93.9</v>
      </c>
      <c r="E17" s="21">
        <v>0</v>
      </c>
      <c r="F17" s="20">
        <v>39.799999999999997</v>
      </c>
      <c r="G17" s="13">
        <v>12.9</v>
      </c>
      <c r="H17" s="13">
        <f t="shared" si="0"/>
        <v>93.9</v>
      </c>
      <c r="I17" s="12">
        <f t="shared" si="1"/>
        <v>0.13738019169329074</v>
      </c>
      <c r="J17" s="13">
        <f>IF(OR(B17="",C17=""),"",INDEX(Ref_Frete!$B$2:$G$54,MATCH(C17,Ref_Frete!$A$2:$A$54,0),IF(B17="Pequenos",2,IF(B17="Medios",4,6))))</f>
        <v>24.9</v>
      </c>
      <c r="K17" s="13">
        <f>IF(OR(B17="",C17=""),"",INDEX(Ref_Frete!$B$2:$G$54,MATCH(C17,Ref_Frete!$A$2:$A$54,0),IF(B17="Pequenos",1,IF(B17="Medios",3,5))))</f>
        <v>46.5</v>
      </c>
      <c r="L17" s="13">
        <f t="shared" si="2"/>
        <v>-21.6</v>
      </c>
      <c r="M17" s="13">
        <f t="shared" si="3"/>
        <v>10.210000000000001</v>
      </c>
      <c r="N17" s="12">
        <f t="shared" si="4"/>
        <v>0.10873269435569756</v>
      </c>
      <c r="O17" s="22" t="str">
        <f t="shared" si="5"/>
        <v>ABAIXO DA META (10-15%)</v>
      </c>
      <c r="P17" s="23"/>
    </row>
    <row r="18" spans="1:16" ht="15" customHeight="1" x14ac:dyDescent="0.25">
      <c r="A18" s="19" t="s">
        <v>44</v>
      </c>
      <c r="B18" s="19" t="s">
        <v>96</v>
      </c>
      <c r="C18" s="19" t="s">
        <v>98</v>
      </c>
      <c r="D18" s="20">
        <v>93.9</v>
      </c>
      <c r="E18" s="21">
        <v>0</v>
      </c>
      <c r="F18" s="20">
        <v>39.799999999999997</v>
      </c>
      <c r="G18" s="13">
        <v>12.9</v>
      </c>
      <c r="H18" s="13">
        <f t="shared" si="0"/>
        <v>93.9</v>
      </c>
      <c r="I18" s="12">
        <f t="shared" si="1"/>
        <v>0.13738019169329074</v>
      </c>
      <c r="J18" s="13">
        <f>IF(OR(B18="",C18=""),"",INDEX(Ref_Frete!$B$2:$G$54,MATCH(C18,Ref_Frete!$A$2:$A$54,0),IF(B18="Pequenos",2,IF(B18="Medios",4,6))))</f>
        <v>16.899999999999999</v>
      </c>
      <c r="K18" s="13">
        <f>IF(OR(B18="",C18=""),"",INDEX(Ref_Frete!$B$2:$G$54,MATCH(C18,Ref_Frete!$A$2:$A$54,0),IF(B18="Pequenos",1,IF(B18="Medios",3,5))))</f>
        <v>30</v>
      </c>
      <c r="L18" s="13">
        <f t="shared" si="2"/>
        <v>-13.100000000000001</v>
      </c>
      <c r="M18" s="13">
        <f t="shared" si="3"/>
        <v>18.71</v>
      </c>
      <c r="N18" s="12">
        <f t="shared" si="4"/>
        <v>0.19925452609158678</v>
      </c>
      <c r="O18" s="22" t="str">
        <f t="shared" si="5"/>
        <v>DENTRO DA META (15-20%)</v>
      </c>
      <c r="P18" s="23"/>
    </row>
    <row r="19" spans="1:16" ht="15" hidden="1" customHeight="1" x14ac:dyDescent="0.25">
      <c r="A19" s="19" t="s">
        <v>34</v>
      </c>
      <c r="B19" s="19" t="s">
        <v>96</v>
      </c>
      <c r="C19" s="19" t="s">
        <v>97</v>
      </c>
      <c r="D19" s="20">
        <v>104.9</v>
      </c>
      <c r="E19" s="21">
        <v>0</v>
      </c>
      <c r="F19" s="20">
        <v>48.18</v>
      </c>
      <c r="G19" s="13">
        <v>14.26</v>
      </c>
      <c r="H19" s="13">
        <f t="shared" si="0"/>
        <v>104.9</v>
      </c>
      <c r="I19" s="12">
        <f t="shared" si="1"/>
        <v>0.13593898951382269</v>
      </c>
      <c r="J19" s="13">
        <f>IF(OR(B19="",C19=""),"",INDEX(Ref_Frete!$B$2:$G$54,MATCH(C19,Ref_Frete!$A$2:$A$54,0),IF(B19="Pequenos",2,IF(B19="Medios",4,6))))</f>
        <v>24.9</v>
      </c>
      <c r="K19" s="13">
        <f>IF(OR(B19="",C19=""),"",INDEX(Ref_Frete!$B$2:$G$54,MATCH(C19,Ref_Frete!$A$2:$A$54,0),IF(B19="Pequenos",1,IF(B19="Medios",3,5))))</f>
        <v>46.5</v>
      </c>
      <c r="L19" s="13">
        <f t="shared" si="2"/>
        <v>-21.6</v>
      </c>
      <c r="M19" s="13">
        <f t="shared" si="3"/>
        <v>10.369999999999997</v>
      </c>
      <c r="N19" s="12">
        <f t="shared" si="4"/>
        <v>9.8856053384175371E-2</v>
      </c>
      <c r="O19" s="22" t="str">
        <f t="shared" si="5"/>
        <v>CRÍTICO (&lt;10%)</v>
      </c>
      <c r="P19" s="23"/>
    </row>
    <row r="20" spans="1:16" ht="15" hidden="1" customHeight="1" x14ac:dyDescent="0.25">
      <c r="A20" s="19" t="s">
        <v>34</v>
      </c>
      <c r="B20" s="19" t="s">
        <v>96</v>
      </c>
      <c r="C20" s="19" t="s">
        <v>98</v>
      </c>
      <c r="D20" s="20">
        <v>104.9</v>
      </c>
      <c r="E20" s="21">
        <v>0</v>
      </c>
      <c r="F20" s="20">
        <v>48.18</v>
      </c>
      <c r="G20" s="13">
        <v>14.26</v>
      </c>
      <c r="H20" s="13">
        <f t="shared" si="0"/>
        <v>104.9</v>
      </c>
      <c r="I20" s="12">
        <f t="shared" si="1"/>
        <v>0.13593898951382269</v>
      </c>
      <c r="J20" s="13">
        <f>IF(OR(B20="",C20=""),"",INDEX(Ref_Frete!$B$2:$G$54,MATCH(C20,Ref_Frete!$A$2:$A$54,0),IF(B20="Pequenos",2,IF(B20="Medios",4,6))))</f>
        <v>16.899999999999999</v>
      </c>
      <c r="K20" s="13">
        <f>IF(OR(B20="",C20=""),"",INDEX(Ref_Frete!$B$2:$G$54,MATCH(C20,Ref_Frete!$A$2:$A$54,0),IF(B20="Pequenos",1,IF(B20="Medios",3,5))))</f>
        <v>30</v>
      </c>
      <c r="L20" s="13">
        <f t="shared" si="2"/>
        <v>-13.100000000000001</v>
      </c>
      <c r="M20" s="13">
        <f t="shared" si="3"/>
        <v>18.869999999999997</v>
      </c>
      <c r="N20" s="12">
        <f t="shared" si="4"/>
        <v>0.17988560533841752</v>
      </c>
      <c r="O20" s="22" t="str">
        <f t="shared" si="5"/>
        <v>DENTRO DA META (15-20%)</v>
      </c>
      <c r="P20" s="23"/>
    </row>
    <row r="21" spans="1:16" ht="15" hidden="1" customHeight="1" x14ac:dyDescent="0.25">
      <c r="A21" s="19" t="s">
        <v>104</v>
      </c>
      <c r="B21" s="19" t="s">
        <v>96</v>
      </c>
      <c r="C21" s="19" t="s">
        <v>97</v>
      </c>
      <c r="D21" s="20">
        <v>129.9</v>
      </c>
      <c r="E21" s="21">
        <v>0</v>
      </c>
      <c r="F21" s="20">
        <v>60.62</v>
      </c>
      <c r="G21" s="13">
        <v>17.22</v>
      </c>
      <c r="H21" s="13">
        <f t="shared" si="0"/>
        <v>129.9</v>
      </c>
      <c r="I21" s="12">
        <f t="shared" si="1"/>
        <v>0.13256351039260969</v>
      </c>
      <c r="J21" s="13">
        <f>IF(OR(B21="",C21=""),"",INDEX(Ref_Frete!$B$2:$G$54,MATCH(C21,Ref_Frete!$A$2:$A$54,0),IF(B21="Pequenos",2,IF(B21="Medios",4,6))))</f>
        <v>24.9</v>
      </c>
      <c r="K21" s="13">
        <f>IF(OR(B21="",C21=""),"",INDEX(Ref_Frete!$B$2:$G$54,MATCH(C21,Ref_Frete!$A$2:$A$54,0),IF(B21="Pequenos",1,IF(B21="Medios",3,5))))</f>
        <v>46.5</v>
      </c>
      <c r="L21" s="13">
        <f t="shared" si="2"/>
        <v>-21.6</v>
      </c>
      <c r="M21" s="13">
        <f t="shared" si="3"/>
        <v>17.470000000000006</v>
      </c>
      <c r="N21" s="12">
        <f t="shared" si="4"/>
        <v>0.13448806774441882</v>
      </c>
      <c r="O21" s="22" t="str">
        <f t="shared" si="5"/>
        <v>ABAIXO DA META (10-15%)</v>
      </c>
      <c r="P21" s="23"/>
    </row>
    <row r="22" spans="1:16" ht="15" customHeight="1" x14ac:dyDescent="0.25">
      <c r="A22" s="19" t="s">
        <v>104</v>
      </c>
      <c r="B22" s="19" t="s">
        <v>96</v>
      </c>
      <c r="C22" s="19" t="s">
        <v>98</v>
      </c>
      <c r="D22" s="20">
        <v>129.9</v>
      </c>
      <c r="E22" s="21">
        <v>0</v>
      </c>
      <c r="F22" s="20">
        <v>60.62</v>
      </c>
      <c r="G22" s="13">
        <v>17.22</v>
      </c>
      <c r="H22" s="13">
        <f t="shared" si="0"/>
        <v>129.9</v>
      </c>
      <c r="I22" s="12">
        <f t="shared" si="1"/>
        <v>0.13256351039260969</v>
      </c>
      <c r="J22" s="13">
        <f>IF(OR(B22="",C22=""),"",INDEX(Ref_Frete!$B$2:$G$54,MATCH(C22,Ref_Frete!$A$2:$A$54,0),IF(B22="Pequenos",2,IF(B22="Medios",4,6))))</f>
        <v>16.899999999999999</v>
      </c>
      <c r="K22" s="13">
        <f>IF(OR(B22="",C22=""),"",INDEX(Ref_Frete!$B$2:$G$54,MATCH(C22,Ref_Frete!$A$2:$A$54,0),IF(B22="Pequenos",1,IF(B22="Medios",3,5))))</f>
        <v>30</v>
      </c>
      <c r="L22" s="13">
        <f t="shared" si="2"/>
        <v>-13.100000000000001</v>
      </c>
      <c r="M22" s="13">
        <f t="shared" si="3"/>
        <v>25.970000000000006</v>
      </c>
      <c r="N22" s="12">
        <f t="shared" si="4"/>
        <v>0.19992301770592769</v>
      </c>
      <c r="O22" s="22" t="str">
        <f t="shared" si="5"/>
        <v>DENTRO DA META (15-20%)</v>
      </c>
      <c r="P22" s="23"/>
    </row>
    <row r="23" spans="1:16" ht="15" hidden="1" customHeight="1" x14ac:dyDescent="0.25">
      <c r="A23" s="19" t="s">
        <v>37</v>
      </c>
      <c r="B23" s="19" t="s">
        <v>96</v>
      </c>
      <c r="C23" s="19" t="s">
        <v>97</v>
      </c>
      <c r="D23" s="20">
        <v>116</v>
      </c>
      <c r="E23" s="21">
        <v>0</v>
      </c>
      <c r="F23" s="20">
        <v>54.47</v>
      </c>
      <c r="G23" s="13">
        <v>15.47</v>
      </c>
      <c r="H23" s="13">
        <f t="shared" si="0"/>
        <v>116</v>
      </c>
      <c r="I23" s="12">
        <f t="shared" si="1"/>
        <v>0.13336206896551725</v>
      </c>
      <c r="J23" s="13">
        <f>IF(OR(B23="",C23=""),"",INDEX(Ref_Frete!$B$2:$G$54,MATCH(C23,Ref_Frete!$A$2:$A$54,0),IF(B23="Pequenos",2,IF(B23="Medios",4,6))))</f>
        <v>24.9</v>
      </c>
      <c r="K23" s="13">
        <f>IF(OR(B23="",C23=""),"",INDEX(Ref_Frete!$B$2:$G$54,MATCH(C23,Ref_Frete!$A$2:$A$54,0),IF(B23="Pequenos",1,IF(B23="Medios",3,5))))</f>
        <v>46.5</v>
      </c>
      <c r="L23" s="13">
        <f t="shared" si="2"/>
        <v>-21.6</v>
      </c>
      <c r="M23" s="13">
        <f t="shared" si="3"/>
        <v>12.86</v>
      </c>
      <c r="N23" s="12">
        <f t="shared" si="4"/>
        <v>0.11086206896551723</v>
      </c>
      <c r="O23" s="22" t="str">
        <f t="shared" si="5"/>
        <v>ABAIXO DA META (10-15%)</v>
      </c>
      <c r="P23" s="23"/>
    </row>
    <row r="24" spans="1:16" ht="15" hidden="1" customHeight="1" x14ac:dyDescent="0.25">
      <c r="A24" s="19" t="s">
        <v>37</v>
      </c>
      <c r="B24" s="19" t="s">
        <v>96</v>
      </c>
      <c r="C24" s="19" t="s">
        <v>98</v>
      </c>
      <c r="D24" s="20">
        <v>116</v>
      </c>
      <c r="E24" s="21">
        <v>0</v>
      </c>
      <c r="F24" s="20">
        <v>54.47</v>
      </c>
      <c r="G24" s="13">
        <v>15.47</v>
      </c>
      <c r="H24" s="13">
        <f t="shared" si="0"/>
        <v>116</v>
      </c>
      <c r="I24" s="12">
        <f t="shared" si="1"/>
        <v>0.13336206896551725</v>
      </c>
      <c r="J24" s="13">
        <f>IF(OR(B24="",C24=""),"",INDEX(Ref_Frete!$B$2:$G$54,MATCH(C24,Ref_Frete!$A$2:$A$54,0),IF(B24="Pequenos",2,IF(B24="Medios",4,6))))</f>
        <v>16.899999999999999</v>
      </c>
      <c r="K24" s="13">
        <f>IF(OR(B24="",C24=""),"",INDEX(Ref_Frete!$B$2:$G$54,MATCH(C24,Ref_Frete!$A$2:$A$54,0),IF(B24="Pequenos",1,IF(B24="Medios",3,5))))</f>
        <v>30</v>
      </c>
      <c r="L24" s="13">
        <f t="shared" si="2"/>
        <v>-13.100000000000001</v>
      </c>
      <c r="M24" s="13">
        <f t="shared" si="3"/>
        <v>21.36</v>
      </c>
      <c r="N24" s="12">
        <f t="shared" si="4"/>
        <v>0.18413793103448275</v>
      </c>
      <c r="O24" s="22" t="str">
        <f t="shared" si="5"/>
        <v>DENTRO DA META (15-20%)</v>
      </c>
      <c r="P24" s="23"/>
    </row>
    <row r="25" spans="1:16" ht="15" hidden="1" customHeight="1" x14ac:dyDescent="0.25">
      <c r="A25" s="19" t="s">
        <v>47</v>
      </c>
      <c r="B25" s="19" t="s">
        <v>96</v>
      </c>
      <c r="C25" s="19" t="s">
        <v>97</v>
      </c>
      <c r="D25" s="20">
        <v>109.9</v>
      </c>
      <c r="E25" s="21">
        <v>0</v>
      </c>
      <c r="F25" s="20">
        <v>49.15</v>
      </c>
      <c r="G25" s="13">
        <v>14.81</v>
      </c>
      <c r="H25" s="13">
        <f t="shared" si="0"/>
        <v>109.9</v>
      </c>
      <c r="I25" s="12">
        <f t="shared" si="1"/>
        <v>0.13475887170154685</v>
      </c>
      <c r="J25" s="13">
        <f>IF(OR(B25="",C25=""),"",INDEX(Ref_Frete!$B$2:$G$54,MATCH(C25,Ref_Frete!$A$2:$A$54,0),IF(B25="Pequenos",2,IF(B25="Medios",4,6))))</f>
        <v>24.9</v>
      </c>
      <c r="K25" s="13">
        <f>IF(OR(B25="",C25=""),"",INDEX(Ref_Frete!$B$2:$G$54,MATCH(C25,Ref_Frete!$A$2:$A$54,0),IF(B25="Pequenos",1,IF(B25="Medios",3,5))))</f>
        <v>46.5</v>
      </c>
      <c r="L25" s="13">
        <f t="shared" si="2"/>
        <v>-21.6</v>
      </c>
      <c r="M25" s="13">
        <f t="shared" si="3"/>
        <v>13.350000000000001</v>
      </c>
      <c r="N25" s="12">
        <f t="shared" si="4"/>
        <v>0.12147406733393995</v>
      </c>
      <c r="O25" s="22" t="str">
        <f t="shared" si="5"/>
        <v>ABAIXO DA META (10-15%)</v>
      </c>
      <c r="P25" s="23"/>
    </row>
    <row r="26" spans="1:16" ht="15" customHeight="1" x14ac:dyDescent="0.25">
      <c r="A26" s="19" t="s">
        <v>47</v>
      </c>
      <c r="B26" s="19" t="s">
        <v>96</v>
      </c>
      <c r="C26" s="19" t="s">
        <v>98</v>
      </c>
      <c r="D26" s="20">
        <v>109.9</v>
      </c>
      <c r="E26" s="21">
        <v>0</v>
      </c>
      <c r="F26" s="20">
        <v>49.15</v>
      </c>
      <c r="G26" s="13">
        <v>14.81</v>
      </c>
      <c r="H26" s="13">
        <f t="shared" si="0"/>
        <v>109.9</v>
      </c>
      <c r="I26" s="12">
        <f t="shared" si="1"/>
        <v>0.13475887170154685</v>
      </c>
      <c r="J26" s="13">
        <f>IF(OR(B26="",C26=""),"",INDEX(Ref_Frete!$B$2:$G$54,MATCH(C26,Ref_Frete!$A$2:$A$54,0),IF(B26="Pequenos",2,IF(B26="Medios",4,6))))</f>
        <v>16.899999999999999</v>
      </c>
      <c r="K26" s="13">
        <f>IF(OR(B26="",C26=""),"",INDEX(Ref_Frete!$B$2:$G$54,MATCH(C26,Ref_Frete!$A$2:$A$54,0),IF(B26="Pequenos",1,IF(B26="Medios",3,5))))</f>
        <v>30</v>
      </c>
      <c r="L26" s="13">
        <f t="shared" si="2"/>
        <v>-13.100000000000001</v>
      </c>
      <c r="M26" s="13">
        <f t="shared" si="3"/>
        <v>21.85</v>
      </c>
      <c r="N26" s="12">
        <f t="shared" si="4"/>
        <v>0.19881710646041856</v>
      </c>
      <c r="O26" s="22" t="str">
        <f t="shared" si="5"/>
        <v>DENTRO DA META (15-20%)</v>
      </c>
      <c r="P26" s="23"/>
    </row>
    <row r="27" spans="1:16" ht="15" hidden="1" customHeight="1" x14ac:dyDescent="0.25">
      <c r="A27" s="19" t="s">
        <v>48</v>
      </c>
      <c r="B27" s="19" t="s">
        <v>96</v>
      </c>
      <c r="C27" s="19" t="s">
        <v>97</v>
      </c>
      <c r="D27" s="20">
        <v>120.9</v>
      </c>
      <c r="E27" s="21">
        <v>0</v>
      </c>
      <c r="F27" s="20">
        <v>55.75</v>
      </c>
      <c r="G27" s="13">
        <v>16.14</v>
      </c>
      <c r="H27" s="13">
        <f t="shared" si="0"/>
        <v>120.9</v>
      </c>
      <c r="I27" s="12">
        <f t="shared" si="1"/>
        <v>0.13349875930521091</v>
      </c>
      <c r="J27" s="13">
        <f>IF(OR(B27="",C27=""),"",INDEX(Ref_Frete!$B$2:$G$54,MATCH(C27,Ref_Frete!$A$2:$A$54,0),IF(B27="Pequenos",2,IF(B27="Medios",4,6))))</f>
        <v>24.9</v>
      </c>
      <c r="K27" s="13">
        <f>IF(OR(B27="",C27=""),"",INDEX(Ref_Frete!$B$2:$G$54,MATCH(C27,Ref_Frete!$A$2:$A$54,0),IF(B27="Pequenos",1,IF(B27="Medios",3,5))))</f>
        <v>46.5</v>
      </c>
      <c r="L27" s="13">
        <f t="shared" si="2"/>
        <v>-21.6</v>
      </c>
      <c r="M27" s="13">
        <f t="shared" si="3"/>
        <v>15.32</v>
      </c>
      <c r="N27" s="12">
        <f t="shared" si="4"/>
        <v>0.12671629445822993</v>
      </c>
      <c r="O27" s="22" t="str">
        <f t="shared" si="5"/>
        <v>ABAIXO DA META (10-15%)</v>
      </c>
      <c r="P27" s="23"/>
    </row>
    <row r="28" spans="1:16" ht="15" customHeight="1" x14ac:dyDescent="0.25">
      <c r="A28" s="19" t="s">
        <v>48</v>
      </c>
      <c r="B28" s="19" t="s">
        <v>96</v>
      </c>
      <c r="C28" s="19" t="s">
        <v>98</v>
      </c>
      <c r="D28" s="20">
        <v>120.9</v>
      </c>
      <c r="E28" s="21">
        <v>0</v>
      </c>
      <c r="F28" s="20">
        <v>55.75</v>
      </c>
      <c r="G28" s="13">
        <v>16.14</v>
      </c>
      <c r="H28" s="13">
        <f t="shared" si="0"/>
        <v>120.9</v>
      </c>
      <c r="I28" s="12">
        <f t="shared" si="1"/>
        <v>0.13349875930521091</v>
      </c>
      <c r="J28" s="13">
        <f>IF(OR(B28="",C28=""),"",INDEX(Ref_Frete!$B$2:$G$54,MATCH(C28,Ref_Frete!$A$2:$A$54,0),IF(B28="Pequenos",2,IF(B28="Medios",4,6))))</f>
        <v>16.899999999999999</v>
      </c>
      <c r="K28" s="13">
        <f>IF(OR(B28="",C28=""),"",INDEX(Ref_Frete!$B$2:$G$54,MATCH(C28,Ref_Frete!$A$2:$A$54,0),IF(B28="Pequenos",1,IF(B28="Medios",3,5))))</f>
        <v>30</v>
      </c>
      <c r="L28" s="13">
        <f t="shared" si="2"/>
        <v>-13.100000000000001</v>
      </c>
      <c r="M28" s="13">
        <f t="shared" si="3"/>
        <v>23.82</v>
      </c>
      <c r="N28" s="12">
        <f t="shared" si="4"/>
        <v>0.19702233250620346</v>
      </c>
      <c r="O28" s="22" t="str">
        <f t="shared" si="5"/>
        <v>DENTRO DA META (15-20%)</v>
      </c>
      <c r="P28" s="23"/>
    </row>
    <row r="29" spans="1:16" ht="15" hidden="1" customHeight="1" x14ac:dyDescent="0.25">
      <c r="A29" s="19" t="s">
        <v>105</v>
      </c>
      <c r="B29" s="19" t="s">
        <v>96</v>
      </c>
      <c r="C29" s="19" t="s">
        <v>97</v>
      </c>
      <c r="D29" s="20">
        <v>137.9</v>
      </c>
      <c r="E29" s="21">
        <v>0</v>
      </c>
      <c r="F29" s="20">
        <v>65.95</v>
      </c>
      <c r="G29" s="13">
        <v>18.18</v>
      </c>
      <c r="H29" s="13">
        <f t="shared" si="0"/>
        <v>137.9</v>
      </c>
      <c r="I29" s="12">
        <f t="shared" si="1"/>
        <v>0.13183466279912981</v>
      </c>
      <c r="J29" s="13">
        <f>IF(OR(B29="",C29=""),"",INDEX(Ref_Frete!$B$2:$G$54,MATCH(C29,Ref_Frete!$A$2:$A$54,0),IF(B29="Pequenos",2,IF(B29="Medios",4,6))))</f>
        <v>24.9</v>
      </c>
      <c r="K29" s="13">
        <f>IF(OR(B29="",C29=""),"",INDEX(Ref_Frete!$B$2:$G$54,MATCH(C29,Ref_Frete!$A$2:$A$54,0),IF(B29="Pequenos",1,IF(B29="Medios",3,5))))</f>
        <v>46.5</v>
      </c>
      <c r="L29" s="13">
        <f t="shared" si="2"/>
        <v>-21.6</v>
      </c>
      <c r="M29" s="13">
        <f t="shared" si="3"/>
        <v>18.379999999999995</v>
      </c>
      <c r="N29" s="12">
        <f t="shared" si="4"/>
        <v>0.13328498912255254</v>
      </c>
      <c r="O29" s="22" t="str">
        <f t="shared" si="5"/>
        <v>ABAIXO DA META (10-15%)</v>
      </c>
      <c r="P29" s="23"/>
    </row>
    <row r="30" spans="1:16" ht="15" customHeight="1" x14ac:dyDescent="0.25">
      <c r="A30" s="19" t="s">
        <v>105</v>
      </c>
      <c r="B30" s="19" t="s">
        <v>96</v>
      </c>
      <c r="C30" s="19" t="s">
        <v>98</v>
      </c>
      <c r="D30" s="20">
        <v>137.9</v>
      </c>
      <c r="E30" s="21">
        <v>0</v>
      </c>
      <c r="F30" s="20">
        <v>65.95</v>
      </c>
      <c r="G30" s="13">
        <v>18.18</v>
      </c>
      <c r="H30" s="13">
        <f t="shared" si="0"/>
        <v>137.9</v>
      </c>
      <c r="I30" s="12">
        <f t="shared" si="1"/>
        <v>0.13183466279912981</v>
      </c>
      <c r="J30" s="13">
        <f>IF(OR(B30="",C30=""),"",INDEX(Ref_Frete!$B$2:$G$54,MATCH(C30,Ref_Frete!$A$2:$A$54,0),IF(B30="Pequenos",2,IF(B30="Medios",4,6))))</f>
        <v>16.899999999999999</v>
      </c>
      <c r="K30" s="13">
        <f>IF(OR(B30="",C30=""),"",INDEX(Ref_Frete!$B$2:$G$54,MATCH(C30,Ref_Frete!$A$2:$A$54,0),IF(B30="Pequenos",1,IF(B30="Medios",3,5))))</f>
        <v>30</v>
      </c>
      <c r="L30" s="13">
        <f t="shared" si="2"/>
        <v>-13.100000000000001</v>
      </c>
      <c r="M30" s="13">
        <f t="shared" si="3"/>
        <v>26.879999999999995</v>
      </c>
      <c r="N30" s="12">
        <f t="shared" si="4"/>
        <v>0.19492385786802027</v>
      </c>
      <c r="O30" s="22" t="str">
        <f t="shared" si="5"/>
        <v>DENTRO DA META (15-20%)</v>
      </c>
      <c r="P30" s="23"/>
    </row>
    <row r="31" spans="1:16" ht="15" hidden="1" customHeight="1" x14ac:dyDescent="0.25">
      <c r="A31" s="19" t="s">
        <v>33</v>
      </c>
      <c r="B31" s="19" t="s">
        <v>96</v>
      </c>
      <c r="C31" s="19" t="s">
        <v>97</v>
      </c>
      <c r="D31" s="20">
        <v>123.93</v>
      </c>
      <c r="E31" s="21">
        <v>0</v>
      </c>
      <c r="F31" s="20">
        <v>59.8</v>
      </c>
      <c r="G31" s="13">
        <v>16.420000000000002</v>
      </c>
      <c r="H31" s="13">
        <f t="shared" si="0"/>
        <v>123.93</v>
      </c>
      <c r="I31" s="12">
        <f t="shared" si="1"/>
        <v>0.13249414992334382</v>
      </c>
      <c r="J31" s="13">
        <f>IF(OR(B31="",C31=""),"",INDEX(Ref_Frete!$B$2:$G$54,MATCH(C31,Ref_Frete!$A$2:$A$54,0),IF(B31="Pequenos",2,IF(B31="Medios",4,6))))</f>
        <v>24.9</v>
      </c>
      <c r="K31" s="13">
        <f>IF(OR(B31="",C31=""),"",INDEX(Ref_Frete!$B$2:$G$54,MATCH(C31,Ref_Frete!$A$2:$A$54,0),IF(B31="Pequenos",1,IF(B31="Medios",3,5))))</f>
        <v>46.5</v>
      </c>
      <c r="L31" s="13">
        <f t="shared" si="2"/>
        <v>-21.6</v>
      </c>
      <c r="M31" s="13">
        <f t="shared" si="3"/>
        <v>13.717000000000006</v>
      </c>
      <c r="N31" s="12">
        <f t="shared" si="4"/>
        <v>0.1106834503348665</v>
      </c>
      <c r="O31" s="22" t="str">
        <f t="shared" si="5"/>
        <v>ABAIXO DA META (10-15%)</v>
      </c>
      <c r="P31" s="23"/>
    </row>
    <row r="32" spans="1:16" ht="15" hidden="1" customHeight="1" x14ac:dyDescent="0.25">
      <c r="A32" s="19" t="s">
        <v>33</v>
      </c>
      <c r="B32" s="19" t="s">
        <v>96</v>
      </c>
      <c r="C32" s="19" t="s">
        <v>98</v>
      </c>
      <c r="D32" s="20">
        <v>123.93</v>
      </c>
      <c r="E32" s="21">
        <v>0</v>
      </c>
      <c r="F32" s="20">
        <v>59.8</v>
      </c>
      <c r="G32" s="13">
        <v>16.420000000000002</v>
      </c>
      <c r="H32" s="13">
        <f t="shared" si="0"/>
        <v>123.93</v>
      </c>
      <c r="I32" s="12">
        <f t="shared" si="1"/>
        <v>0.13249414992334382</v>
      </c>
      <c r="J32" s="13">
        <f>IF(OR(B32="",C32=""),"",INDEX(Ref_Frete!$B$2:$G$54,MATCH(C32,Ref_Frete!$A$2:$A$54,0),IF(B32="Pequenos",2,IF(B32="Medios",4,6))))</f>
        <v>16.899999999999999</v>
      </c>
      <c r="K32" s="13">
        <f>IF(OR(B32="",C32=""),"",INDEX(Ref_Frete!$B$2:$G$54,MATCH(C32,Ref_Frete!$A$2:$A$54,0),IF(B32="Pequenos",1,IF(B32="Medios",3,5))))</f>
        <v>30</v>
      </c>
      <c r="L32" s="13">
        <f t="shared" si="2"/>
        <v>-13.100000000000001</v>
      </c>
      <c r="M32" s="13">
        <f t="shared" si="3"/>
        <v>22.217000000000006</v>
      </c>
      <c r="N32" s="12">
        <f t="shared" si="4"/>
        <v>0.17927055595900915</v>
      </c>
      <c r="O32" s="22" t="str">
        <f t="shared" si="5"/>
        <v>DENTRO DA META (15-20%)</v>
      </c>
      <c r="P32" s="23"/>
    </row>
    <row r="33" spans="1:16" ht="15" hidden="1" customHeight="1" x14ac:dyDescent="0.25">
      <c r="A33" s="19" t="s">
        <v>45</v>
      </c>
      <c r="B33" s="19" t="s">
        <v>96</v>
      </c>
      <c r="C33" s="19" t="s">
        <v>97</v>
      </c>
      <c r="D33" s="20">
        <v>113.11</v>
      </c>
      <c r="E33" s="21">
        <v>0</v>
      </c>
      <c r="F33" s="20">
        <v>51.82</v>
      </c>
      <c r="G33" s="13">
        <v>15.12</v>
      </c>
      <c r="H33" s="13">
        <f t="shared" si="0"/>
        <v>113.11</v>
      </c>
      <c r="I33" s="12">
        <f t="shared" si="1"/>
        <v>0.13367518344973919</v>
      </c>
      <c r="J33" s="13">
        <f>IF(OR(B33="",C33=""),"",INDEX(Ref_Frete!$B$2:$G$54,MATCH(C33,Ref_Frete!$A$2:$A$54,0),IF(B33="Pequenos",2,IF(B33="Medios",4,6))))</f>
        <v>24.9</v>
      </c>
      <c r="K33" s="13">
        <f>IF(OR(B33="",C33=""),"",INDEX(Ref_Frete!$B$2:$G$54,MATCH(C33,Ref_Frete!$A$2:$A$54,0),IF(B33="Pequenos",1,IF(B33="Medios",3,5))))</f>
        <v>46.5</v>
      </c>
      <c r="L33" s="13">
        <f t="shared" si="2"/>
        <v>-21.6</v>
      </c>
      <c r="M33" s="13">
        <f t="shared" si="3"/>
        <v>13.258999999999993</v>
      </c>
      <c r="N33" s="12">
        <f t="shared" si="4"/>
        <v>0.11722217310582612</v>
      </c>
      <c r="O33" s="22" t="str">
        <f t="shared" si="5"/>
        <v>ABAIXO DA META (10-15%)</v>
      </c>
      <c r="P33" s="23"/>
    </row>
    <row r="34" spans="1:16" ht="15" customHeight="1" x14ac:dyDescent="0.25">
      <c r="A34" s="19" t="s">
        <v>45</v>
      </c>
      <c r="B34" s="19" t="s">
        <v>96</v>
      </c>
      <c r="C34" s="19" t="s">
        <v>98</v>
      </c>
      <c r="D34" s="20">
        <v>113.11</v>
      </c>
      <c r="E34" s="21">
        <v>0</v>
      </c>
      <c r="F34" s="20">
        <v>51.82</v>
      </c>
      <c r="G34" s="13">
        <v>15.12</v>
      </c>
      <c r="H34" s="13">
        <f t="shared" si="0"/>
        <v>113.11</v>
      </c>
      <c r="I34" s="12">
        <f t="shared" si="1"/>
        <v>0.13367518344973919</v>
      </c>
      <c r="J34" s="13">
        <f>IF(OR(B34="",C34=""),"",INDEX(Ref_Frete!$B$2:$G$54,MATCH(C34,Ref_Frete!$A$2:$A$54,0),IF(B34="Pequenos",2,IF(B34="Medios",4,6))))</f>
        <v>16.899999999999999</v>
      </c>
      <c r="K34" s="13">
        <f>IF(OR(B34="",C34=""),"",INDEX(Ref_Frete!$B$2:$G$54,MATCH(C34,Ref_Frete!$A$2:$A$54,0),IF(B34="Pequenos",1,IF(B34="Medios",3,5))))</f>
        <v>30</v>
      </c>
      <c r="L34" s="13">
        <f t="shared" si="2"/>
        <v>-13.100000000000001</v>
      </c>
      <c r="M34" s="13">
        <f t="shared" si="3"/>
        <v>21.758999999999993</v>
      </c>
      <c r="N34" s="12">
        <f t="shared" si="4"/>
        <v>0.19237025903987262</v>
      </c>
      <c r="O34" s="22" t="str">
        <f t="shared" si="5"/>
        <v>DENTRO DA META (15-20%)</v>
      </c>
      <c r="P34" s="23"/>
    </row>
    <row r="35" spans="1:16" ht="15" hidden="1" customHeight="1" x14ac:dyDescent="0.25">
      <c r="A35" s="19" t="s">
        <v>49</v>
      </c>
      <c r="B35" s="19" t="s">
        <v>96</v>
      </c>
      <c r="C35" s="19" t="s">
        <v>97</v>
      </c>
      <c r="D35" s="20">
        <v>127.9</v>
      </c>
      <c r="E35" s="21">
        <v>0</v>
      </c>
      <c r="F35" s="20">
        <v>60.21</v>
      </c>
      <c r="G35" s="13">
        <v>16.96</v>
      </c>
      <c r="H35" s="13">
        <f t="shared" si="0"/>
        <v>127.9</v>
      </c>
      <c r="I35" s="12">
        <f t="shared" si="1"/>
        <v>0.13260359655981235</v>
      </c>
      <c r="J35" s="13">
        <f>IF(OR(B35="",C35=""),"",INDEX(Ref_Frete!$B$2:$G$54,MATCH(C35,Ref_Frete!$A$2:$A$54,0),IF(B35="Pequenos",2,IF(B35="Medios",4,6))))</f>
        <v>24.9</v>
      </c>
      <c r="K35" s="13">
        <f>IF(OR(B35="",C35=""),"",INDEX(Ref_Frete!$B$2:$G$54,MATCH(C35,Ref_Frete!$A$2:$A$54,0),IF(B35="Pequenos",1,IF(B35="Medios",3,5))))</f>
        <v>46.5</v>
      </c>
      <c r="L35" s="13">
        <f t="shared" si="2"/>
        <v>-21.6</v>
      </c>
      <c r="M35" s="13">
        <f t="shared" si="3"/>
        <v>16.339999999999996</v>
      </c>
      <c r="N35" s="12">
        <f t="shared" si="4"/>
        <v>0.12775605942142296</v>
      </c>
      <c r="O35" s="22" t="str">
        <f t="shared" si="5"/>
        <v>ABAIXO DA META (10-15%)</v>
      </c>
      <c r="P35" s="23"/>
    </row>
    <row r="36" spans="1:16" ht="15" customHeight="1" x14ac:dyDescent="0.25">
      <c r="A36" s="19" t="s">
        <v>49</v>
      </c>
      <c r="B36" s="19" t="s">
        <v>96</v>
      </c>
      <c r="C36" s="19" t="s">
        <v>98</v>
      </c>
      <c r="D36" s="20">
        <v>127.9</v>
      </c>
      <c r="E36" s="21">
        <v>0</v>
      </c>
      <c r="F36" s="20">
        <v>60.21</v>
      </c>
      <c r="G36" s="13">
        <v>16.96</v>
      </c>
      <c r="H36" s="13">
        <f t="shared" si="0"/>
        <v>127.9</v>
      </c>
      <c r="I36" s="12">
        <f t="shared" si="1"/>
        <v>0.13260359655981235</v>
      </c>
      <c r="J36" s="13">
        <f>IF(OR(B36="",C36=""),"",INDEX(Ref_Frete!$B$2:$G$54,MATCH(C36,Ref_Frete!$A$2:$A$54,0),IF(B36="Pequenos",2,IF(B36="Medios",4,6))))</f>
        <v>16.899999999999999</v>
      </c>
      <c r="K36" s="13">
        <f>IF(OR(B36="",C36=""),"",INDEX(Ref_Frete!$B$2:$G$54,MATCH(C36,Ref_Frete!$A$2:$A$54,0),IF(B36="Pequenos",1,IF(B36="Medios",3,5))))</f>
        <v>30</v>
      </c>
      <c r="L36" s="13">
        <f t="shared" si="2"/>
        <v>-13.100000000000001</v>
      </c>
      <c r="M36" s="13">
        <f t="shared" si="3"/>
        <v>24.839999999999996</v>
      </c>
      <c r="N36" s="12">
        <f t="shared" si="4"/>
        <v>0.19421422986708362</v>
      </c>
      <c r="O36" s="22" t="str">
        <f t="shared" si="5"/>
        <v>DENTRO DA META (15-20%)</v>
      </c>
      <c r="P36" s="23"/>
    </row>
    <row r="37" spans="1:16" ht="15" hidden="1" customHeight="1" x14ac:dyDescent="0.25">
      <c r="A37" s="19" t="s">
        <v>31</v>
      </c>
      <c r="B37" s="19" t="s">
        <v>96</v>
      </c>
      <c r="C37" s="19" t="s">
        <v>97</v>
      </c>
      <c r="D37" s="20">
        <v>139.9</v>
      </c>
      <c r="E37" s="21">
        <v>0</v>
      </c>
      <c r="F37" s="20">
        <v>69.52</v>
      </c>
      <c r="G37" s="13">
        <v>18.489999999999998</v>
      </c>
      <c r="H37" s="13">
        <f t="shared" si="0"/>
        <v>139.9</v>
      </c>
      <c r="I37" s="12">
        <f t="shared" si="1"/>
        <v>0.13216583273766974</v>
      </c>
      <c r="J37" s="13">
        <f>IF(OR(B37="",C37=""),"",INDEX(Ref_Frete!$B$2:$G$54,MATCH(C37,Ref_Frete!$A$2:$A$54,0),IF(B37="Pequenos",2,IF(B37="Medios",4,6))))</f>
        <v>24.9</v>
      </c>
      <c r="K37" s="13">
        <f>IF(OR(B37="",C37=""),"",INDEX(Ref_Frete!$B$2:$G$54,MATCH(C37,Ref_Frete!$A$2:$A$54,0),IF(B37="Pequenos",1,IF(B37="Medios",3,5))))</f>
        <v>46.5</v>
      </c>
      <c r="L37" s="13">
        <f t="shared" si="2"/>
        <v>-21.6</v>
      </c>
      <c r="M37" s="13">
        <f t="shared" si="3"/>
        <v>16.300000000000011</v>
      </c>
      <c r="N37" s="12">
        <f t="shared" si="4"/>
        <v>0.11651179413867055</v>
      </c>
      <c r="O37" s="22" t="str">
        <f t="shared" si="5"/>
        <v>ABAIXO DA META (10-15%)</v>
      </c>
      <c r="P37" s="23"/>
    </row>
    <row r="38" spans="1:16" ht="15" hidden="1" customHeight="1" x14ac:dyDescent="0.25">
      <c r="A38" s="19" t="s">
        <v>31</v>
      </c>
      <c r="B38" s="19" t="s">
        <v>96</v>
      </c>
      <c r="C38" s="19" t="s">
        <v>98</v>
      </c>
      <c r="D38" s="20">
        <v>139.9</v>
      </c>
      <c r="E38" s="21">
        <v>0</v>
      </c>
      <c r="F38" s="20">
        <v>69.52</v>
      </c>
      <c r="G38" s="13">
        <v>18.489999999999998</v>
      </c>
      <c r="H38" s="13">
        <f t="shared" si="0"/>
        <v>139.9</v>
      </c>
      <c r="I38" s="12">
        <f t="shared" si="1"/>
        <v>0.13216583273766974</v>
      </c>
      <c r="J38" s="13">
        <f>IF(OR(B38="",C38=""),"",INDEX(Ref_Frete!$B$2:$G$54,MATCH(C38,Ref_Frete!$A$2:$A$54,0),IF(B38="Pequenos",2,IF(B38="Medios",4,6))))</f>
        <v>16.899999999999999</v>
      </c>
      <c r="K38" s="13">
        <f>IF(OR(B38="",C38=""),"",INDEX(Ref_Frete!$B$2:$G$54,MATCH(C38,Ref_Frete!$A$2:$A$54,0),IF(B38="Pequenos",1,IF(B38="Medios",3,5))))</f>
        <v>30</v>
      </c>
      <c r="L38" s="13">
        <f t="shared" si="2"/>
        <v>-13.100000000000001</v>
      </c>
      <c r="M38" s="13">
        <f t="shared" si="3"/>
        <v>24.800000000000011</v>
      </c>
      <c r="N38" s="12">
        <f t="shared" si="4"/>
        <v>0.17726947819871344</v>
      </c>
      <c r="O38" s="22" t="str">
        <f t="shared" si="5"/>
        <v>DENTRO DA META (15-20%)</v>
      </c>
      <c r="P38" s="23"/>
    </row>
    <row r="39" spans="1:16" ht="15" hidden="1" customHeight="1" x14ac:dyDescent="0.25">
      <c r="A39" s="19" t="s">
        <v>106</v>
      </c>
      <c r="B39" s="19" t="s">
        <v>96</v>
      </c>
      <c r="C39" s="19" t="s">
        <v>97</v>
      </c>
      <c r="D39" s="20">
        <v>132.9</v>
      </c>
      <c r="E39" s="21">
        <v>0</v>
      </c>
      <c r="F39" s="20">
        <v>63.11</v>
      </c>
      <c r="G39" s="13">
        <v>17.5</v>
      </c>
      <c r="H39" s="13">
        <f t="shared" si="0"/>
        <v>132.9</v>
      </c>
      <c r="I39" s="12">
        <f t="shared" si="1"/>
        <v>0.13167795334838223</v>
      </c>
      <c r="J39" s="13">
        <f>IF(OR(B39="",C39=""),"",INDEX(Ref_Frete!$B$2:$G$54,MATCH(C39,Ref_Frete!$A$2:$A$54,0),IF(B39="Pequenos",2,IF(B39="Medios",4,6))))</f>
        <v>24.9</v>
      </c>
      <c r="K39" s="13">
        <f>IF(OR(B39="",C39=""),"",INDEX(Ref_Frete!$B$2:$G$54,MATCH(C39,Ref_Frete!$A$2:$A$54,0),IF(B39="Pequenos",1,IF(B39="Medios",3,5))))</f>
        <v>46.5</v>
      </c>
      <c r="L39" s="13">
        <f t="shared" si="2"/>
        <v>-21.6</v>
      </c>
      <c r="M39" s="13">
        <f t="shared" si="3"/>
        <v>17.400000000000006</v>
      </c>
      <c r="N39" s="12">
        <f t="shared" si="4"/>
        <v>0.13092550790067725</v>
      </c>
      <c r="O39" s="22" t="str">
        <f t="shared" si="5"/>
        <v>ABAIXO DA META (10-15%)</v>
      </c>
      <c r="P39" s="23"/>
    </row>
    <row r="40" spans="1:16" ht="15" customHeight="1" x14ac:dyDescent="0.25">
      <c r="A40" s="19" t="s">
        <v>106</v>
      </c>
      <c r="B40" s="19" t="s">
        <v>96</v>
      </c>
      <c r="C40" s="19" t="s">
        <v>98</v>
      </c>
      <c r="D40" s="20">
        <v>132.9</v>
      </c>
      <c r="E40" s="21">
        <v>0</v>
      </c>
      <c r="F40" s="20">
        <v>63.11</v>
      </c>
      <c r="G40" s="13">
        <v>17.5</v>
      </c>
      <c r="H40" s="13">
        <f t="shared" si="0"/>
        <v>132.9</v>
      </c>
      <c r="I40" s="12">
        <f t="shared" si="1"/>
        <v>0.13167795334838223</v>
      </c>
      <c r="J40" s="13">
        <f>IF(OR(B40="",C40=""),"",INDEX(Ref_Frete!$B$2:$G$54,MATCH(C40,Ref_Frete!$A$2:$A$54,0),IF(B40="Pequenos",2,IF(B40="Medios",4,6))))</f>
        <v>16.899999999999999</v>
      </c>
      <c r="K40" s="13">
        <f>IF(OR(B40="",C40=""),"",INDEX(Ref_Frete!$B$2:$G$54,MATCH(C40,Ref_Frete!$A$2:$A$54,0),IF(B40="Pequenos",1,IF(B40="Medios",3,5))))</f>
        <v>30</v>
      </c>
      <c r="L40" s="13">
        <f t="shared" si="2"/>
        <v>-13.100000000000001</v>
      </c>
      <c r="M40" s="13">
        <f t="shared" si="3"/>
        <v>25.900000000000006</v>
      </c>
      <c r="N40" s="12">
        <f t="shared" si="4"/>
        <v>0.19488337095560576</v>
      </c>
      <c r="O40" s="22" t="str">
        <f t="shared" si="5"/>
        <v>DENTRO DA META (15-20%)</v>
      </c>
      <c r="P40" s="23"/>
    </row>
    <row r="41" spans="1:16" ht="15" hidden="1" customHeight="1" x14ac:dyDescent="0.25">
      <c r="A41" s="19" t="s">
        <v>46</v>
      </c>
      <c r="B41" s="19" t="s">
        <v>96</v>
      </c>
      <c r="C41" s="19" t="s">
        <v>97</v>
      </c>
      <c r="D41" s="20">
        <v>119.22</v>
      </c>
      <c r="E41" s="21">
        <v>0</v>
      </c>
      <c r="F41" s="20">
        <v>55.49</v>
      </c>
      <c r="G41" s="13">
        <v>15.85</v>
      </c>
      <c r="H41" s="13">
        <f t="shared" si="0"/>
        <v>119.22</v>
      </c>
      <c r="I41" s="12">
        <f t="shared" si="1"/>
        <v>0.13294749203153833</v>
      </c>
      <c r="J41" s="13">
        <f>IF(OR(B41="",C41=""),"",INDEX(Ref_Frete!$B$2:$G$54,MATCH(C41,Ref_Frete!$A$2:$A$54,0),IF(B41="Pequenos",2,IF(B41="Medios",4,6))))</f>
        <v>24.9</v>
      </c>
      <c r="K41" s="13">
        <f>IF(OR(B41="",C41=""),"",INDEX(Ref_Frete!$B$2:$G$54,MATCH(C41,Ref_Frete!$A$2:$A$54,0),IF(B41="Pequenos",1,IF(B41="Medios",3,5))))</f>
        <v>46.5</v>
      </c>
      <c r="L41" s="13">
        <f t="shared" si="2"/>
        <v>-21.6</v>
      </c>
      <c r="M41" s="13">
        <f t="shared" si="3"/>
        <v>14.357999999999997</v>
      </c>
      <c r="N41" s="12">
        <f t="shared" si="4"/>
        <v>0.12043281328636132</v>
      </c>
      <c r="O41" s="22" t="str">
        <f t="shared" si="5"/>
        <v>ABAIXO DA META (10-15%)</v>
      </c>
      <c r="P41" s="23"/>
    </row>
    <row r="42" spans="1:16" ht="15" customHeight="1" x14ac:dyDescent="0.25">
      <c r="A42" s="19" t="s">
        <v>46</v>
      </c>
      <c r="B42" s="19" t="s">
        <v>96</v>
      </c>
      <c r="C42" s="19" t="s">
        <v>98</v>
      </c>
      <c r="D42" s="20">
        <v>119.22</v>
      </c>
      <c r="E42" s="21">
        <v>0</v>
      </c>
      <c r="F42" s="20">
        <v>55.49</v>
      </c>
      <c r="G42" s="13">
        <v>15.85</v>
      </c>
      <c r="H42" s="13">
        <f t="shared" si="0"/>
        <v>119.22</v>
      </c>
      <c r="I42" s="12">
        <f t="shared" si="1"/>
        <v>0.13294749203153833</v>
      </c>
      <c r="J42" s="13">
        <f>IF(OR(B42="",C42=""),"",INDEX(Ref_Frete!$B$2:$G$54,MATCH(C42,Ref_Frete!$A$2:$A$54,0),IF(B42="Pequenos",2,IF(B42="Medios",4,6))))</f>
        <v>16.899999999999999</v>
      </c>
      <c r="K42" s="13">
        <f>IF(OR(B42="",C42=""),"",INDEX(Ref_Frete!$B$2:$G$54,MATCH(C42,Ref_Frete!$A$2:$A$54,0),IF(B42="Pequenos",1,IF(B42="Medios",3,5))))</f>
        <v>30</v>
      </c>
      <c r="L42" s="13">
        <f t="shared" si="2"/>
        <v>-13.100000000000001</v>
      </c>
      <c r="M42" s="13">
        <f t="shared" si="3"/>
        <v>22.857999999999997</v>
      </c>
      <c r="N42" s="12">
        <f t="shared" si="4"/>
        <v>0.19172957557456799</v>
      </c>
      <c r="O42" s="22" t="str">
        <f t="shared" si="5"/>
        <v>DENTRO DA META (15-20%)</v>
      </c>
      <c r="P42" s="23"/>
    </row>
    <row r="43" spans="1:16" ht="15" hidden="1" customHeight="1" x14ac:dyDescent="0.25">
      <c r="A43" s="19" t="s">
        <v>107</v>
      </c>
      <c r="B43" s="19" t="s">
        <v>96</v>
      </c>
      <c r="C43" s="19" t="s">
        <v>97</v>
      </c>
      <c r="D43" s="20">
        <v>141.9</v>
      </c>
      <c r="E43" s="21">
        <v>0</v>
      </c>
      <c r="F43" s="20">
        <v>68.569999999999993</v>
      </c>
      <c r="G43" s="13">
        <v>18.64</v>
      </c>
      <c r="H43" s="13">
        <f t="shared" si="0"/>
        <v>141.9</v>
      </c>
      <c r="I43" s="12">
        <f t="shared" si="1"/>
        <v>0.13136011275546158</v>
      </c>
      <c r="J43" s="13">
        <f>IF(OR(B43="",C43=""),"",INDEX(Ref_Frete!$B$2:$G$54,MATCH(C43,Ref_Frete!$A$2:$A$54,0),IF(B43="Pequenos",2,IF(B43="Medios",4,6))))</f>
        <v>24.9</v>
      </c>
      <c r="K43" s="13">
        <f>IF(OR(B43="",C43=""),"",INDEX(Ref_Frete!$B$2:$G$54,MATCH(C43,Ref_Frete!$A$2:$A$54,0),IF(B43="Pequenos",1,IF(B43="Medios",3,5))))</f>
        <v>46.5</v>
      </c>
      <c r="L43" s="13">
        <f t="shared" si="2"/>
        <v>-21.6</v>
      </c>
      <c r="M43" s="13">
        <f t="shared" si="3"/>
        <v>18.900000000000013</v>
      </c>
      <c r="N43" s="12">
        <f t="shared" si="4"/>
        <v>0.13319238900634259</v>
      </c>
      <c r="O43" s="22" t="str">
        <f t="shared" si="5"/>
        <v>ABAIXO DA META (10-15%)</v>
      </c>
      <c r="P43" s="23"/>
    </row>
    <row r="44" spans="1:16" ht="15" customHeight="1" x14ac:dyDescent="0.25">
      <c r="A44" s="19" t="s">
        <v>107</v>
      </c>
      <c r="B44" s="19" t="s">
        <v>96</v>
      </c>
      <c r="C44" s="19" t="s">
        <v>98</v>
      </c>
      <c r="D44" s="20">
        <v>141.9</v>
      </c>
      <c r="E44" s="21">
        <v>0</v>
      </c>
      <c r="F44" s="20">
        <v>68.569999999999993</v>
      </c>
      <c r="G44" s="13">
        <v>18.64</v>
      </c>
      <c r="H44" s="13">
        <f t="shared" si="0"/>
        <v>141.9</v>
      </c>
      <c r="I44" s="12">
        <f t="shared" si="1"/>
        <v>0.13136011275546158</v>
      </c>
      <c r="J44" s="13">
        <f>IF(OR(B44="",C44=""),"",INDEX(Ref_Frete!$B$2:$G$54,MATCH(C44,Ref_Frete!$A$2:$A$54,0),IF(B44="Pequenos",2,IF(B44="Medios",4,6))))</f>
        <v>16.899999999999999</v>
      </c>
      <c r="K44" s="13">
        <f>IF(OR(B44="",C44=""),"",INDEX(Ref_Frete!$B$2:$G$54,MATCH(C44,Ref_Frete!$A$2:$A$54,0),IF(B44="Pequenos",1,IF(B44="Medios",3,5))))</f>
        <v>30</v>
      </c>
      <c r="L44" s="13">
        <f t="shared" si="2"/>
        <v>-13.100000000000001</v>
      </c>
      <c r="M44" s="13">
        <f t="shared" si="3"/>
        <v>27.400000000000013</v>
      </c>
      <c r="N44" s="12">
        <f t="shared" si="4"/>
        <v>0.193093727977449</v>
      </c>
      <c r="O44" s="22" t="str">
        <f t="shared" si="5"/>
        <v>DENTRO DA META (15-20%)</v>
      </c>
      <c r="P44" s="23"/>
    </row>
    <row r="45" spans="1:16" ht="15" hidden="1" customHeight="1" x14ac:dyDescent="0.25">
      <c r="A45" s="19" t="s">
        <v>108</v>
      </c>
      <c r="B45" s="19" t="s">
        <v>96</v>
      </c>
      <c r="C45" s="19" t="s">
        <v>97</v>
      </c>
      <c r="D45" s="20">
        <v>153.72</v>
      </c>
      <c r="E45" s="21">
        <v>0</v>
      </c>
      <c r="F45" s="20">
        <v>75.680000000000007</v>
      </c>
      <c r="G45" s="13">
        <v>19.989999999999998</v>
      </c>
      <c r="H45" s="13">
        <f t="shared" si="0"/>
        <v>153.72</v>
      </c>
      <c r="I45" s="12">
        <f t="shared" si="1"/>
        <v>0.13004163413999478</v>
      </c>
      <c r="J45" s="13">
        <f>IF(OR(B45="",C45=""),"",INDEX(Ref_Frete!$B$2:$G$54,MATCH(C45,Ref_Frete!$A$2:$A$54,0),IF(B45="Pequenos",2,IF(B45="Medios",4,6))))</f>
        <v>24.9</v>
      </c>
      <c r="K45" s="13">
        <f>IF(OR(B45="",C45=""),"",INDEX(Ref_Frete!$B$2:$G$54,MATCH(C45,Ref_Frete!$A$2:$A$54,0),IF(B45="Pequenos",1,IF(B45="Medios",3,5))))</f>
        <v>46.5</v>
      </c>
      <c r="L45" s="13">
        <f t="shared" si="2"/>
        <v>-21.6</v>
      </c>
      <c r="M45" s="13">
        <f t="shared" si="3"/>
        <v>21.077999999999982</v>
      </c>
      <c r="N45" s="12">
        <f t="shared" si="4"/>
        <v>0.13711943793910994</v>
      </c>
      <c r="O45" s="22" t="str">
        <f t="shared" si="5"/>
        <v>ABAIXO DA META (10-15%)</v>
      </c>
      <c r="P45" s="23"/>
    </row>
    <row r="46" spans="1:16" ht="15" customHeight="1" x14ac:dyDescent="0.25">
      <c r="A46" s="19" t="s">
        <v>108</v>
      </c>
      <c r="B46" s="19" t="s">
        <v>96</v>
      </c>
      <c r="C46" s="19" t="s">
        <v>98</v>
      </c>
      <c r="D46" s="20">
        <v>153.72</v>
      </c>
      <c r="E46" s="21">
        <v>0</v>
      </c>
      <c r="F46" s="20">
        <v>75.680000000000007</v>
      </c>
      <c r="G46" s="13">
        <v>19.989999999999998</v>
      </c>
      <c r="H46" s="13">
        <f t="shared" si="0"/>
        <v>153.72</v>
      </c>
      <c r="I46" s="12">
        <f t="shared" si="1"/>
        <v>0.13004163413999478</v>
      </c>
      <c r="J46" s="13">
        <f>IF(OR(B46="",C46=""),"",INDEX(Ref_Frete!$B$2:$G$54,MATCH(C46,Ref_Frete!$A$2:$A$54,0),IF(B46="Pequenos",2,IF(B46="Medios",4,6))))</f>
        <v>16.899999999999999</v>
      </c>
      <c r="K46" s="13">
        <f>IF(OR(B46="",C46=""),"",INDEX(Ref_Frete!$B$2:$G$54,MATCH(C46,Ref_Frete!$A$2:$A$54,0),IF(B46="Pequenos",1,IF(B46="Medios",3,5))))</f>
        <v>30</v>
      </c>
      <c r="L46" s="13">
        <f t="shared" si="2"/>
        <v>-13.100000000000001</v>
      </c>
      <c r="M46" s="13">
        <f t="shared" si="3"/>
        <v>29.577999999999982</v>
      </c>
      <c r="N46" s="12">
        <f t="shared" si="4"/>
        <v>0.19241478011969804</v>
      </c>
      <c r="O46" s="22" t="str">
        <f t="shared" si="5"/>
        <v>DENTRO DA META (15-20%)</v>
      </c>
      <c r="P46" s="23"/>
    </row>
    <row r="47" spans="1:16" ht="15" hidden="1" customHeight="1" x14ac:dyDescent="0.25">
      <c r="A47" s="19" t="s">
        <v>109</v>
      </c>
      <c r="B47" s="19" t="s">
        <v>96</v>
      </c>
      <c r="C47" s="19" t="s">
        <v>97</v>
      </c>
      <c r="D47" s="20">
        <v>143.13</v>
      </c>
      <c r="E47" s="21">
        <v>0</v>
      </c>
      <c r="F47" s="20">
        <v>69.27</v>
      </c>
      <c r="G47" s="13">
        <v>18.72</v>
      </c>
      <c r="H47" s="13">
        <f t="shared" si="0"/>
        <v>143.13</v>
      </c>
      <c r="I47" s="12">
        <f t="shared" si="1"/>
        <v>0.13079019073569481</v>
      </c>
      <c r="J47" s="13">
        <f>IF(OR(B47="",C47=""),"",INDEX(Ref_Frete!$B$2:$G$54,MATCH(C47,Ref_Frete!$A$2:$A$54,0),IF(B47="Pequenos",2,IF(B47="Medios",4,6))))</f>
        <v>24.9</v>
      </c>
      <c r="K47" s="13">
        <f>IF(OR(B47="",C47=""),"",INDEX(Ref_Frete!$B$2:$G$54,MATCH(C47,Ref_Frete!$A$2:$A$54,0),IF(B47="Pequenos",1,IF(B47="Medios",3,5))))</f>
        <v>46.5</v>
      </c>
      <c r="L47" s="13">
        <f t="shared" si="2"/>
        <v>-21.6</v>
      </c>
      <c r="M47" s="13">
        <f t="shared" si="3"/>
        <v>19.226999999999997</v>
      </c>
      <c r="N47" s="12">
        <f t="shared" si="4"/>
        <v>0.13433242506811988</v>
      </c>
      <c r="O47" s="22" t="str">
        <f t="shared" si="5"/>
        <v>ABAIXO DA META (10-15%)</v>
      </c>
      <c r="P47" s="23"/>
    </row>
    <row r="48" spans="1:16" ht="15" customHeight="1" x14ac:dyDescent="0.25">
      <c r="A48" s="19" t="s">
        <v>109</v>
      </c>
      <c r="B48" s="19" t="s">
        <v>96</v>
      </c>
      <c r="C48" s="19" t="s">
        <v>98</v>
      </c>
      <c r="D48" s="20">
        <v>143.13</v>
      </c>
      <c r="E48" s="21">
        <v>0</v>
      </c>
      <c r="F48" s="20">
        <v>69.27</v>
      </c>
      <c r="G48" s="13">
        <v>18.72</v>
      </c>
      <c r="H48" s="13">
        <f t="shared" si="0"/>
        <v>143.13</v>
      </c>
      <c r="I48" s="12">
        <f t="shared" si="1"/>
        <v>0.13079019073569481</v>
      </c>
      <c r="J48" s="13">
        <f>IF(OR(B48="",C48=""),"",INDEX(Ref_Frete!$B$2:$G$54,MATCH(C48,Ref_Frete!$A$2:$A$54,0),IF(B48="Pequenos",2,IF(B48="Medios",4,6))))</f>
        <v>16.899999999999999</v>
      </c>
      <c r="K48" s="13">
        <f>IF(OR(B48="",C48=""),"",INDEX(Ref_Frete!$B$2:$G$54,MATCH(C48,Ref_Frete!$A$2:$A$54,0),IF(B48="Pequenos",1,IF(B48="Medios",3,5))))</f>
        <v>30</v>
      </c>
      <c r="L48" s="13">
        <f t="shared" si="2"/>
        <v>-13.100000000000001</v>
      </c>
      <c r="M48" s="13">
        <f t="shared" si="3"/>
        <v>27.726999999999997</v>
      </c>
      <c r="N48" s="12">
        <f t="shared" si="4"/>
        <v>0.19371899671627191</v>
      </c>
      <c r="O48" s="22" t="str">
        <f t="shared" si="5"/>
        <v>DENTRO DA META (15-20%)</v>
      </c>
      <c r="P48" s="23"/>
    </row>
    <row r="49" spans="1:16" ht="15" hidden="1" customHeight="1" x14ac:dyDescent="0.25">
      <c r="A49" s="19" t="s">
        <v>110</v>
      </c>
      <c r="B49" s="19" t="s">
        <v>96</v>
      </c>
      <c r="C49" s="19" t="s">
        <v>97</v>
      </c>
      <c r="D49" s="20">
        <v>160.08000000000001</v>
      </c>
      <c r="E49" s="21">
        <v>0</v>
      </c>
      <c r="F49" s="20">
        <v>79.66</v>
      </c>
      <c r="G49" s="13">
        <v>20.76</v>
      </c>
      <c r="H49" s="13">
        <f t="shared" si="0"/>
        <v>160.08000000000001</v>
      </c>
      <c r="I49" s="12">
        <f t="shared" si="1"/>
        <v>0.12968515742128936</v>
      </c>
      <c r="J49" s="13">
        <f>IF(OR(B49="",C49=""),"",INDEX(Ref_Frete!$B$2:$G$54,MATCH(C49,Ref_Frete!$A$2:$A$54,0),IF(B49="Pequenos",2,IF(B49="Medios",4,6))))</f>
        <v>24.9</v>
      </c>
      <c r="K49" s="13">
        <f>IF(OR(B49="",C49=""),"",INDEX(Ref_Frete!$B$2:$G$54,MATCH(C49,Ref_Frete!$A$2:$A$54,0),IF(B49="Pequenos",1,IF(B49="Medios",3,5))))</f>
        <v>46.5</v>
      </c>
      <c r="L49" s="13">
        <f t="shared" si="2"/>
        <v>-21.6</v>
      </c>
      <c r="M49" s="13">
        <f t="shared" si="3"/>
        <v>22.052000000000021</v>
      </c>
      <c r="N49" s="12">
        <f t="shared" si="4"/>
        <v>0.13775612193903061</v>
      </c>
      <c r="O49" s="22" t="str">
        <f t="shared" si="5"/>
        <v>ABAIXO DA META (10-15%)</v>
      </c>
      <c r="P49" s="23"/>
    </row>
    <row r="50" spans="1:16" ht="15" customHeight="1" x14ac:dyDescent="0.25">
      <c r="A50" s="19" t="s">
        <v>110</v>
      </c>
      <c r="B50" s="19" t="s">
        <v>96</v>
      </c>
      <c r="C50" s="19" t="s">
        <v>98</v>
      </c>
      <c r="D50" s="20">
        <v>160.08000000000001</v>
      </c>
      <c r="E50" s="21">
        <v>0</v>
      </c>
      <c r="F50" s="20">
        <v>79.66</v>
      </c>
      <c r="G50" s="13">
        <v>20.76</v>
      </c>
      <c r="H50" s="13">
        <f t="shared" si="0"/>
        <v>160.08000000000001</v>
      </c>
      <c r="I50" s="12">
        <f t="shared" si="1"/>
        <v>0.12968515742128936</v>
      </c>
      <c r="J50" s="13">
        <f>IF(OR(B50="",C50=""),"",INDEX(Ref_Frete!$B$2:$G$54,MATCH(C50,Ref_Frete!$A$2:$A$54,0),IF(B50="Pequenos",2,IF(B50="Medios",4,6))))</f>
        <v>16.899999999999999</v>
      </c>
      <c r="K50" s="13">
        <f>IF(OR(B50="",C50=""),"",INDEX(Ref_Frete!$B$2:$G$54,MATCH(C50,Ref_Frete!$A$2:$A$54,0),IF(B50="Pequenos",1,IF(B50="Medios",3,5))))</f>
        <v>30</v>
      </c>
      <c r="L50" s="13">
        <f t="shared" si="2"/>
        <v>-13.100000000000001</v>
      </c>
      <c r="M50" s="13">
        <f t="shared" si="3"/>
        <v>30.552000000000021</v>
      </c>
      <c r="N50" s="12">
        <f t="shared" si="4"/>
        <v>0.19085457271364328</v>
      </c>
      <c r="O50" s="22" t="str">
        <f t="shared" si="5"/>
        <v>DENTRO DA META (15-20%)</v>
      </c>
      <c r="P50" s="23"/>
    </row>
    <row r="51" spans="1:16" ht="15" hidden="1" customHeight="1" x14ac:dyDescent="0.25">
      <c r="A51" s="19" t="s">
        <v>111</v>
      </c>
      <c r="B51" s="19" t="s">
        <v>96</v>
      </c>
      <c r="C51" s="19" t="s">
        <v>97</v>
      </c>
      <c r="D51" s="20">
        <v>174.24</v>
      </c>
      <c r="E51" s="21">
        <v>0</v>
      </c>
      <c r="F51" s="20">
        <v>86.87</v>
      </c>
      <c r="G51" s="13">
        <v>22.46</v>
      </c>
      <c r="H51" s="13">
        <f t="shared" si="0"/>
        <v>174.24</v>
      </c>
      <c r="I51" s="12">
        <f t="shared" si="1"/>
        <v>0.12890266299357209</v>
      </c>
      <c r="J51" s="13">
        <f>IF(OR(B51="",C51=""),"",INDEX(Ref_Frete!$B$2:$G$54,MATCH(C51,Ref_Frete!$A$2:$A$54,0),IF(B51="Pequenos",2,IF(B51="Medios",4,6))))</f>
        <v>24.9</v>
      </c>
      <c r="K51" s="13">
        <f>IF(OR(B51="",C51=""),"",INDEX(Ref_Frete!$B$2:$G$54,MATCH(C51,Ref_Frete!$A$2:$A$54,0),IF(B51="Pequenos",1,IF(B51="Medios",3,5))))</f>
        <v>46.5</v>
      </c>
      <c r="L51" s="13">
        <f t="shared" si="2"/>
        <v>-21.6</v>
      </c>
      <c r="M51" s="13">
        <f t="shared" si="3"/>
        <v>25.885999999999989</v>
      </c>
      <c r="N51" s="12">
        <f t="shared" si="4"/>
        <v>0.14856519742883373</v>
      </c>
      <c r="O51" s="22" t="str">
        <f t="shared" si="5"/>
        <v>ABAIXO DA META (10-15%)</v>
      </c>
      <c r="P51" s="23"/>
    </row>
    <row r="52" spans="1:16" ht="15" customHeight="1" x14ac:dyDescent="0.25">
      <c r="A52" s="19" t="s">
        <v>111</v>
      </c>
      <c r="B52" s="19" t="s">
        <v>96</v>
      </c>
      <c r="C52" s="19" t="s">
        <v>98</v>
      </c>
      <c r="D52" s="20">
        <v>174.24</v>
      </c>
      <c r="E52" s="21">
        <v>0</v>
      </c>
      <c r="F52" s="20">
        <v>86.87</v>
      </c>
      <c r="G52" s="13">
        <v>22.46</v>
      </c>
      <c r="H52" s="13">
        <f t="shared" si="0"/>
        <v>174.24</v>
      </c>
      <c r="I52" s="12">
        <f t="shared" si="1"/>
        <v>0.12890266299357209</v>
      </c>
      <c r="J52" s="13">
        <f>IF(OR(B52="",C52=""),"",INDEX(Ref_Frete!$B$2:$G$54,MATCH(C52,Ref_Frete!$A$2:$A$54,0),IF(B52="Pequenos",2,IF(B52="Medios",4,6))))</f>
        <v>16.899999999999999</v>
      </c>
      <c r="K52" s="13">
        <f>IF(OR(B52="",C52=""),"",INDEX(Ref_Frete!$B$2:$G$54,MATCH(C52,Ref_Frete!$A$2:$A$54,0),IF(B52="Pequenos",1,IF(B52="Medios",3,5))))</f>
        <v>30</v>
      </c>
      <c r="L52" s="13">
        <f t="shared" si="2"/>
        <v>-13.100000000000001</v>
      </c>
      <c r="M52" s="13">
        <f t="shared" si="3"/>
        <v>34.385999999999989</v>
      </c>
      <c r="N52" s="12">
        <f t="shared" si="4"/>
        <v>0.19734848484848477</v>
      </c>
      <c r="O52" s="22" t="str">
        <f t="shared" si="5"/>
        <v>DENTRO DA META (15-20%)</v>
      </c>
      <c r="P52" s="23"/>
    </row>
    <row r="53" spans="1:16" ht="15" hidden="1" customHeight="1" x14ac:dyDescent="0.25">
      <c r="A53" s="19" t="s">
        <v>40</v>
      </c>
      <c r="B53" s="19" t="s">
        <v>96</v>
      </c>
      <c r="C53" s="19" t="s">
        <v>97</v>
      </c>
      <c r="D53" s="20">
        <v>183.28</v>
      </c>
      <c r="E53" s="21">
        <v>0</v>
      </c>
      <c r="F53" s="20">
        <v>94.18</v>
      </c>
      <c r="G53" s="13">
        <v>23.54</v>
      </c>
      <c r="H53" s="13">
        <f t="shared" si="0"/>
        <v>183.28</v>
      </c>
      <c r="I53" s="12">
        <f t="shared" si="1"/>
        <v>0.12843736359668267</v>
      </c>
      <c r="J53" s="13">
        <f>IF(OR(B53="",C53=""),"",INDEX(Ref_Frete!$B$2:$G$54,MATCH(C53,Ref_Frete!$A$2:$A$54,0),IF(B53="Pequenos",2,IF(B53="Medios",4,6))))</f>
        <v>24.9</v>
      </c>
      <c r="K53" s="13">
        <f>IF(OR(B53="",C53=""),"",INDEX(Ref_Frete!$B$2:$G$54,MATCH(C53,Ref_Frete!$A$2:$A$54,0),IF(B53="Pequenos",1,IF(B53="Medios",3,5))))</f>
        <v>46.5</v>
      </c>
      <c r="L53" s="13">
        <f t="shared" si="2"/>
        <v>-21.6</v>
      </c>
      <c r="M53" s="13">
        <f t="shared" si="3"/>
        <v>25.631999999999998</v>
      </c>
      <c r="N53" s="12">
        <f t="shared" si="4"/>
        <v>0.13985159319074639</v>
      </c>
      <c r="O53" s="22" t="str">
        <f t="shared" si="5"/>
        <v>ABAIXO DA META (10-15%)</v>
      </c>
      <c r="P53" s="23"/>
    </row>
    <row r="54" spans="1:16" ht="15" hidden="1" customHeight="1" x14ac:dyDescent="0.25">
      <c r="A54" s="19" t="s">
        <v>40</v>
      </c>
      <c r="B54" s="19" t="s">
        <v>96</v>
      </c>
      <c r="C54" s="19" t="s">
        <v>98</v>
      </c>
      <c r="D54" s="20">
        <v>183.28</v>
      </c>
      <c r="E54" s="21">
        <v>0</v>
      </c>
      <c r="F54" s="20">
        <v>94.18</v>
      </c>
      <c r="G54" s="13">
        <v>23.54</v>
      </c>
      <c r="H54" s="13">
        <f t="shared" si="0"/>
        <v>183.28</v>
      </c>
      <c r="I54" s="12">
        <f t="shared" si="1"/>
        <v>0.12843736359668267</v>
      </c>
      <c r="J54" s="13">
        <f>IF(OR(B54="",C54=""),"",INDEX(Ref_Frete!$B$2:$G$54,MATCH(C54,Ref_Frete!$A$2:$A$54,0),IF(B54="Pequenos",2,IF(B54="Medios",4,6))))</f>
        <v>16.899999999999999</v>
      </c>
      <c r="K54" s="13">
        <f>IF(OR(B54="",C54=""),"",INDEX(Ref_Frete!$B$2:$G$54,MATCH(C54,Ref_Frete!$A$2:$A$54,0),IF(B54="Pequenos",1,IF(B54="Medios",3,5))))</f>
        <v>30</v>
      </c>
      <c r="L54" s="13">
        <f t="shared" si="2"/>
        <v>-13.100000000000001</v>
      </c>
      <c r="M54" s="13">
        <f t="shared" si="3"/>
        <v>34.131999999999998</v>
      </c>
      <c r="N54" s="12">
        <f t="shared" si="4"/>
        <v>0.18622872108249672</v>
      </c>
      <c r="O54" s="22" t="str">
        <f t="shared" si="5"/>
        <v>DENTRO DA META (15-20%)</v>
      </c>
      <c r="P54" s="23"/>
    </row>
    <row r="55" spans="1:16" ht="15" hidden="1" customHeight="1" x14ac:dyDescent="0.25">
      <c r="A55" s="19" t="s">
        <v>41</v>
      </c>
      <c r="B55" s="19" t="s">
        <v>96</v>
      </c>
      <c r="C55" s="19" t="s">
        <v>97</v>
      </c>
      <c r="D55" s="20">
        <v>178.49</v>
      </c>
      <c r="E55" s="21">
        <v>0</v>
      </c>
      <c r="F55" s="20">
        <v>91.16</v>
      </c>
      <c r="G55" s="13">
        <v>22.97</v>
      </c>
      <c r="H55" s="13">
        <f t="shared" si="0"/>
        <v>178.49</v>
      </c>
      <c r="I55" s="12">
        <f t="shared" si="1"/>
        <v>0.12869068295142583</v>
      </c>
      <c r="J55" s="13">
        <f>IF(OR(B55="",C55=""),"",INDEX(Ref_Frete!$B$2:$G$54,MATCH(C55,Ref_Frete!$A$2:$A$54,0),IF(B55="Pequenos",2,IF(B55="Medios",4,6))))</f>
        <v>24.9</v>
      </c>
      <c r="K55" s="13">
        <f>IF(OR(B55="",C55=""),"",INDEX(Ref_Frete!$B$2:$G$54,MATCH(C55,Ref_Frete!$A$2:$A$54,0),IF(B55="Pequenos",1,IF(B55="Medios",3,5))))</f>
        <v>46.5</v>
      </c>
      <c r="L55" s="13">
        <f t="shared" si="2"/>
        <v>-21.6</v>
      </c>
      <c r="M55" s="13">
        <f t="shared" si="3"/>
        <v>24.911000000000008</v>
      </c>
      <c r="N55" s="12">
        <f t="shared" si="4"/>
        <v>0.13956524175023816</v>
      </c>
      <c r="O55" s="22" t="str">
        <f t="shared" si="5"/>
        <v>ABAIXO DA META (10-15%)</v>
      </c>
      <c r="P55" s="23"/>
    </row>
    <row r="56" spans="1:16" ht="15" hidden="1" customHeight="1" x14ac:dyDescent="0.25">
      <c r="A56" s="19" t="s">
        <v>41</v>
      </c>
      <c r="B56" s="19" t="s">
        <v>96</v>
      </c>
      <c r="C56" s="19" t="s">
        <v>98</v>
      </c>
      <c r="D56" s="20">
        <v>178.49</v>
      </c>
      <c r="E56" s="21">
        <v>0</v>
      </c>
      <c r="F56" s="20">
        <v>91.16</v>
      </c>
      <c r="G56" s="13">
        <v>22.97</v>
      </c>
      <c r="H56" s="13">
        <f t="shared" si="0"/>
        <v>178.49</v>
      </c>
      <c r="I56" s="12">
        <f t="shared" si="1"/>
        <v>0.12869068295142583</v>
      </c>
      <c r="J56" s="13">
        <f>IF(OR(B56="",C56=""),"",INDEX(Ref_Frete!$B$2:$G$54,MATCH(C56,Ref_Frete!$A$2:$A$54,0),IF(B56="Pequenos",2,IF(B56="Medios",4,6))))</f>
        <v>16.899999999999999</v>
      </c>
      <c r="K56" s="13">
        <f>IF(OR(B56="",C56=""),"",INDEX(Ref_Frete!$B$2:$G$54,MATCH(C56,Ref_Frete!$A$2:$A$54,0),IF(B56="Pequenos",1,IF(B56="Medios",3,5))))</f>
        <v>30</v>
      </c>
      <c r="L56" s="13">
        <f t="shared" si="2"/>
        <v>-13.100000000000001</v>
      </c>
      <c r="M56" s="13">
        <f t="shared" si="3"/>
        <v>33.411000000000008</v>
      </c>
      <c r="N56" s="12">
        <f t="shared" si="4"/>
        <v>0.18718695725250717</v>
      </c>
      <c r="O56" s="22" t="str">
        <f t="shared" si="5"/>
        <v>DENTRO DA META (15-20%)</v>
      </c>
      <c r="P56" s="23"/>
    </row>
    <row r="57" spans="1:16" ht="15" hidden="1" customHeight="1" x14ac:dyDescent="0.25">
      <c r="A57" s="19" t="s">
        <v>39</v>
      </c>
      <c r="B57" s="19" t="s">
        <v>96</v>
      </c>
      <c r="C57" s="19" t="s">
        <v>97</v>
      </c>
      <c r="D57" s="20">
        <v>186.36</v>
      </c>
      <c r="E57" s="21">
        <v>0</v>
      </c>
      <c r="F57" s="20">
        <v>96.11</v>
      </c>
      <c r="G57" s="13">
        <v>23.91</v>
      </c>
      <c r="H57" s="13">
        <f t="shared" si="0"/>
        <v>186.36</v>
      </c>
      <c r="I57" s="12">
        <f t="shared" si="1"/>
        <v>0.12830006439150032</v>
      </c>
      <c r="J57" s="13">
        <f>IF(OR(B57="",C57=""),"",INDEX(Ref_Frete!$B$2:$G$54,MATCH(C57,Ref_Frete!$A$2:$A$54,0),IF(B57="Pequenos",2,IF(B57="Medios",4,6))))</f>
        <v>24.9</v>
      </c>
      <c r="K57" s="13">
        <f>IF(OR(B57="",C57=""),"",INDEX(Ref_Frete!$B$2:$G$54,MATCH(C57,Ref_Frete!$A$2:$A$54,0),IF(B57="Pequenos",1,IF(B57="Medios",3,5))))</f>
        <v>46.5</v>
      </c>
      <c r="L57" s="13">
        <f t="shared" si="2"/>
        <v>-21.6</v>
      </c>
      <c r="M57" s="13">
        <f t="shared" si="3"/>
        <v>26.104000000000013</v>
      </c>
      <c r="N57" s="12">
        <f t="shared" si="4"/>
        <v>0.14007297703369828</v>
      </c>
      <c r="O57" s="22" t="str">
        <f t="shared" si="5"/>
        <v>ABAIXO DA META (10-15%)</v>
      </c>
      <c r="P57" s="23"/>
    </row>
    <row r="58" spans="1:16" ht="15" hidden="1" customHeight="1" x14ac:dyDescent="0.25">
      <c r="A58" s="19" t="s">
        <v>39</v>
      </c>
      <c r="B58" s="19" t="s">
        <v>96</v>
      </c>
      <c r="C58" s="19" t="s">
        <v>98</v>
      </c>
      <c r="D58" s="20">
        <v>186.36</v>
      </c>
      <c r="E58" s="21">
        <v>0</v>
      </c>
      <c r="F58" s="20">
        <v>96.11</v>
      </c>
      <c r="G58" s="13">
        <v>23.91</v>
      </c>
      <c r="H58" s="13">
        <f t="shared" si="0"/>
        <v>186.36</v>
      </c>
      <c r="I58" s="12">
        <f t="shared" si="1"/>
        <v>0.12830006439150032</v>
      </c>
      <c r="J58" s="13">
        <f>IF(OR(B58="",C58=""),"",INDEX(Ref_Frete!$B$2:$G$54,MATCH(C58,Ref_Frete!$A$2:$A$54,0),IF(B58="Pequenos",2,IF(B58="Medios",4,6))))</f>
        <v>16.899999999999999</v>
      </c>
      <c r="K58" s="13">
        <f>IF(OR(B58="",C58=""),"",INDEX(Ref_Frete!$B$2:$G$54,MATCH(C58,Ref_Frete!$A$2:$A$54,0),IF(B58="Pequenos",1,IF(B58="Medios",3,5))))</f>
        <v>30</v>
      </c>
      <c r="L58" s="13">
        <f t="shared" si="2"/>
        <v>-13.100000000000001</v>
      </c>
      <c r="M58" s="13">
        <f t="shared" si="3"/>
        <v>34.604000000000013</v>
      </c>
      <c r="N58" s="12">
        <f t="shared" si="4"/>
        <v>0.18568362309508485</v>
      </c>
      <c r="O58" s="22" t="str">
        <f t="shared" si="5"/>
        <v>DENTRO DA META (15-20%)</v>
      </c>
      <c r="P58" s="23"/>
    </row>
    <row r="59" spans="1:16" ht="15" hidden="1" customHeight="1" x14ac:dyDescent="0.25">
      <c r="A59" s="19" t="s">
        <v>36</v>
      </c>
      <c r="B59" s="19" t="s">
        <v>96</v>
      </c>
      <c r="C59" s="19" t="s">
        <v>97</v>
      </c>
      <c r="D59" s="20">
        <v>198.03</v>
      </c>
      <c r="E59" s="21">
        <v>0</v>
      </c>
      <c r="F59" s="20">
        <v>103.42</v>
      </c>
      <c r="G59" s="13">
        <v>25.31</v>
      </c>
      <c r="H59" s="13">
        <f t="shared" si="0"/>
        <v>198.03</v>
      </c>
      <c r="I59" s="12">
        <f t="shared" si="1"/>
        <v>0.1278089178407312</v>
      </c>
      <c r="J59" s="13">
        <f>IF(OR(B59="",C59=""),"",INDEX(Ref_Frete!$B$2:$G$54,MATCH(C59,Ref_Frete!$A$2:$A$54,0),IF(B59="Pequenos",2,IF(B59="Medios",4,6))))</f>
        <v>24.9</v>
      </c>
      <c r="K59" s="13">
        <f>IF(OR(B59="",C59=""),"",INDEX(Ref_Frete!$B$2:$G$54,MATCH(C59,Ref_Frete!$A$2:$A$54,0),IF(B59="Pequenos",1,IF(B59="Medios",3,5))))</f>
        <v>46.5</v>
      </c>
      <c r="L59" s="13">
        <f t="shared" si="2"/>
        <v>-21.6</v>
      </c>
      <c r="M59" s="13">
        <f t="shared" si="3"/>
        <v>27.896999999999998</v>
      </c>
      <c r="N59" s="12">
        <f t="shared" si="4"/>
        <v>0.14087259506135433</v>
      </c>
      <c r="O59" s="22" t="str">
        <f t="shared" si="5"/>
        <v>ABAIXO DA META (10-15%)</v>
      </c>
      <c r="P59" s="23"/>
    </row>
    <row r="60" spans="1:16" ht="15" hidden="1" customHeight="1" x14ac:dyDescent="0.25">
      <c r="A60" s="19" t="s">
        <v>36</v>
      </c>
      <c r="B60" s="19" t="s">
        <v>96</v>
      </c>
      <c r="C60" s="19" t="s">
        <v>98</v>
      </c>
      <c r="D60" s="20">
        <v>198.03</v>
      </c>
      <c r="E60" s="21">
        <v>0</v>
      </c>
      <c r="F60" s="20">
        <v>103.42</v>
      </c>
      <c r="G60" s="13">
        <v>25.31</v>
      </c>
      <c r="H60" s="13">
        <f t="shared" si="0"/>
        <v>198.03</v>
      </c>
      <c r="I60" s="12">
        <f t="shared" si="1"/>
        <v>0.1278089178407312</v>
      </c>
      <c r="J60" s="13">
        <f>IF(OR(B60="",C60=""),"",INDEX(Ref_Frete!$B$2:$G$54,MATCH(C60,Ref_Frete!$A$2:$A$54,0),IF(B60="Pequenos",2,IF(B60="Medios",4,6))))</f>
        <v>16.899999999999999</v>
      </c>
      <c r="K60" s="13">
        <f>IF(OR(B60="",C60=""),"",INDEX(Ref_Frete!$B$2:$G$54,MATCH(C60,Ref_Frete!$A$2:$A$54,0),IF(B60="Pequenos",1,IF(B60="Medios",3,5))))</f>
        <v>30</v>
      </c>
      <c r="L60" s="13">
        <f t="shared" si="2"/>
        <v>-13.100000000000001</v>
      </c>
      <c r="M60" s="13">
        <f t="shared" si="3"/>
        <v>36.396999999999998</v>
      </c>
      <c r="N60" s="12">
        <f t="shared" si="4"/>
        <v>0.18379538453769631</v>
      </c>
      <c r="O60" s="22" t="str">
        <f t="shared" si="5"/>
        <v>DENTRO DA META (15-20%)</v>
      </c>
      <c r="P60" s="23"/>
    </row>
    <row r="61" spans="1:16" ht="15" hidden="1" customHeight="1" x14ac:dyDescent="0.25">
      <c r="A61" s="19" t="s">
        <v>112</v>
      </c>
      <c r="B61" s="19" t="s">
        <v>96</v>
      </c>
      <c r="C61" s="19" t="s">
        <v>97</v>
      </c>
      <c r="D61" s="20">
        <v>202.69</v>
      </c>
      <c r="E61" s="21">
        <v>0</v>
      </c>
      <c r="F61" s="20">
        <v>102.19</v>
      </c>
      <c r="G61" s="13">
        <v>25.87</v>
      </c>
      <c r="H61" s="13">
        <f t="shared" si="0"/>
        <v>202.69</v>
      </c>
      <c r="I61" s="12">
        <f t="shared" si="1"/>
        <v>0.12763333168878585</v>
      </c>
      <c r="J61" s="13">
        <f>IF(OR(B61="",C61=""),"",INDEX(Ref_Frete!$B$2:$G$54,MATCH(C61,Ref_Frete!$A$2:$A$54,0),IF(B61="Pequenos",2,IF(B61="Medios",4,6))))</f>
        <v>24.9</v>
      </c>
      <c r="K61" s="13">
        <f>IF(OR(B61="",C61=""),"",INDEX(Ref_Frete!$B$2:$G$54,MATCH(C61,Ref_Frete!$A$2:$A$54,0),IF(B61="Pequenos",1,IF(B61="Medios",3,5))))</f>
        <v>46.5</v>
      </c>
      <c r="L61" s="13">
        <f t="shared" si="2"/>
        <v>-21.6</v>
      </c>
      <c r="M61" s="13">
        <f t="shared" si="3"/>
        <v>32.760999999999989</v>
      </c>
      <c r="N61" s="12">
        <f t="shared" si="4"/>
        <v>0.16163106221323198</v>
      </c>
      <c r="O61" s="22" t="str">
        <f t="shared" si="5"/>
        <v>DENTRO DA META (15-20%)</v>
      </c>
      <c r="P61" s="23"/>
    </row>
    <row r="62" spans="1:16" ht="15" customHeight="1" x14ac:dyDescent="0.25">
      <c r="A62" s="19" t="s">
        <v>112</v>
      </c>
      <c r="B62" s="19" t="s">
        <v>96</v>
      </c>
      <c r="C62" s="19" t="s">
        <v>98</v>
      </c>
      <c r="D62" s="20">
        <v>202.69</v>
      </c>
      <c r="E62" s="21">
        <v>0</v>
      </c>
      <c r="F62" s="20">
        <v>102.19</v>
      </c>
      <c r="G62" s="13">
        <v>25.87</v>
      </c>
      <c r="H62" s="13">
        <f t="shared" si="0"/>
        <v>202.69</v>
      </c>
      <c r="I62" s="12">
        <f t="shared" si="1"/>
        <v>0.12763333168878585</v>
      </c>
      <c r="J62" s="13">
        <f>IF(OR(B62="",C62=""),"",INDEX(Ref_Frete!$B$2:$G$54,MATCH(C62,Ref_Frete!$A$2:$A$54,0),IF(B62="Pequenos",2,IF(B62="Medios",4,6))))</f>
        <v>16.899999999999999</v>
      </c>
      <c r="K62" s="13">
        <f>IF(OR(B62="",C62=""),"",INDEX(Ref_Frete!$B$2:$G$54,MATCH(C62,Ref_Frete!$A$2:$A$54,0),IF(B62="Pequenos",1,IF(B62="Medios",3,5))))</f>
        <v>30</v>
      </c>
      <c r="L62" s="13">
        <f t="shared" si="2"/>
        <v>-13.100000000000001</v>
      </c>
      <c r="M62" s="13">
        <f t="shared" si="3"/>
        <v>41.260999999999989</v>
      </c>
      <c r="N62" s="12">
        <f t="shared" si="4"/>
        <v>0.20356702353347472</v>
      </c>
      <c r="O62" s="22" t="str">
        <f t="shared" si="5"/>
        <v>ACIMA DA META (&gt;20%)</v>
      </c>
      <c r="P62" s="23"/>
    </row>
    <row r="63" spans="1:16" ht="15" hidden="1" customHeight="1" x14ac:dyDescent="0.25">
      <c r="A63" s="19" t="s">
        <v>113</v>
      </c>
      <c r="B63" s="19" t="s">
        <v>96</v>
      </c>
      <c r="C63" s="19" t="s">
        <v>97</v>
      </c>
      <c r="D63" s="20">
        <v>228.04</v>
      </c>
      <c r="E63" s="21">
        <v>0</v>
      </c>
      <c r="F63" s="20">
        <v>113.2</v>
      </c>
      <c r="G63" s="13">
        <v>28.91</v>
      </c>
      <c r="H63" s="13">
        <f t="shared" si="0"/>
        <v>228.04</v>
      </c>
      <c r="I63" s="12">
        <f t="shared" si="1"/>
        <v>0.12677600420978777</v>
      </c>
      <c r="J63" s="13">
        <f>IF(OR(B63="",C63=""),"",INDEX(Ref_Frete!$B$2:$G$54,MATCH(C63,Ref_Frete!$A$2:$A$54,0),IF(B63="Pequenos",2,IF(B63="Medios",4,6))))</f>
        <v>24.9</v>
      </c>
      <c r="K63" s="13">
        <f>IF(OR(B63="",C63=""),"",INDEX(Ref_Frete!$B$2:$G$54,MATCH(C63,Ref_Frete!$A$2:$A$54,0),IF(B63="Pequenos",1,IF(B63="Medios",3,5))))</f>
        <v>46.5</v>
      </c>
      <c r="L63" s="13">
        <f t="shared" si="2"/>
        <v>-21.6</v>
      </c>
      <c r="M63" s="13">
        <f t="shared" si="3"/>
        <v>41.525999999999989</v>
      </c>
      <c r="N63" s="12">
        <f t="shared" si="4"/>
        <v>0.18209963164357126</v>
      </c>
      <c r="O63" s="22" t="str">
        <f t="shared" si="5"/>
        <v>DENTRO DA META (15-20%)</v>
      </c>
      <c r="P63" s="23"/>
    </row>
    <row r="64" spans="1:16" ht="15" customHeight="1" x14ac:dyDescent="0.25">
      <c r="A64" s="19" t="s">
        <v>113</v>
      </c>
      <c r="B64" s="19" t="s">
        <v>96</v>
      </c>
      <c r="C64" s="19" t="s">
        <v>98</v>
      </c>
      <c r="D64" s="20">
        <v>228.04</v>
      </c>
      <c r="E64" s="21">
        <v>0</v>
      </c>
      <c r="F64" s="20">
        <v>113.2</v>
      </c>
      <c r="G64" s="13">
        <v>28.91</v>
      </c>
      <c r="H64" s="13">
        <f t="shared" si="0"/>
        <v>228.04</v>
      </c>
      <c r="I64" s="12">
        <f t="shared" si="1"/>
        <v>0.12677600420978777</v>
      </c>
      <c r="J64" s="13">
        <f>IF(OR(B64="",C64=""),"",INDEX(Ref_Frete!$B$2:$G$54,MATCH(C64,Ref_Frete!$A$2:$A$54,0),IF(B64="Pequenos",2,IF(B64="Medios",4,6))))</f>
        <v>16.899999999999999</v>
      </c>
      <c r="K64" s="13">
        <f>IF(OR(B64="",C64=""),"",INDEX(Ref_Frete!$B$2:$G$54,MATCH(C64,Ref_Frete!$A$2:$A$54,0),IF(B64="Pequenos",1,IF(B64="Medios",3,5))))</f>
        <v>30</v>
      </c>
      <c r="L64" s="13">
        <f t="shared" si="2"/>
        <v>-13.100000000000001</v>
      </c>
      <c r="M64" s="13">
        <f t="shared" si="3"/>
        <v>50.025999999999989</v>
      </c>
      <c r="N64" s="12">
        <f t="shared" si="4"/>
        <v>0.21937379407121554</v>
      </c>
      <c r="O64" s="22" t="str">
        <f t="shared" si="5"/>
        <v>ACIMA DA META (&gt;20%)</v>
      </c>
      <c r="P64" s="23"/>
    </row>
    <row r="65" spans="1:16" ht="15" hidden="1" customHeight="1" x14ac:dyDescent="0.25">
      <c r="A65" s="19" t="s">
        <v>114</v>
      </c>
      <c r="B65" s="19" t="s">
        <v>96</v>
      </c>
      <c r="C65" s="19" t="s">
        <v>97</v>
      </c>
      <c r="D65" s="20">
        <v>231.66</v>
      </c>
      <c r="E65" s="21">
        <v>0</v>
      </c>
      <c r="F65" s="20">
        <v>120.51</v>
      </c>
      <c r="G65" s="13">
        <v>29.35</v>
      </c>
      <c r="H65" s="13">
        <f t="shared" si="0"/>
        <v>231.66</v>
      </c>
      <c r="I65" s="12">
        <f t="shared" si="1"/>
        <v>0.12669429336096003</v>
      </c>
      <c r="J65" s="13">
        <f>IF(OR(B65="",C65=""),"",INDEX(Ref_Frete!$B$2:$G$54,MATCH(C65,Ref_Frete!$A$2:$A$54,0),IF(B65="Pequenos",2,IF(B65="Medios",4,6))))</f>
        <v>24.9</v>
      </c>
      <c r="K65" s="13">
        <f>IF(OR(B65="",C65=""),"",INDEX(Ref_Frete!$B$2:$G$54,MATCH(C65,Ref_Frete!$A$2:$A$54,0),IF(B65="Pequenos",1,IF(B65="Medios",3,5))))</f>
        <v>46.5</v>
      </c>
      <c r="L65" s="13">
        <f t="shared" si="2"/>
        <v>-21.6</v>
      </c>
      <c r="M65" s="13">
        <f t="shared" si="3"/>
        <v>37.033999999999999</v>
      </c>
      <c r="N65" s="12">
        <f t="shared" si="4"/>
        <v>0.15986359319692653</v>
      </c>
      <c r="O65" s="22" t="str">
        <f t="shared" si="5"/>
        <v>DENTRO DA META (15-20%)</v>
      </c>
      <c r="P65" s="23"/>
    </row>
    <row r="66" spans="1:16" ht="15" customHeight="1" x14ac:dyDescent="0.25">
      <c r="A66" s="19" t="s">
        <v>114</v>
      </c>
      <c r="B66" s="19" t="s">
        <v>96</v>
      </c>
      <c r="C66" s="19" t="s">
        <v>98</v>
      </c>
      <c r="D66" s="20">
        <v>231.66</v>
      </c>
      <c r="E66" s="21">
        <v>0</v>
      </c>
      <c r="F66" s="20">
        <v>120.51</v>
      </c>
      <c r="G66" s="13">
        <v>29.35</v>
      </c>
      <c r="H66" s="13">
        <f t="shared" si="0"/>
        <v>231.66</v>
      </c>
      <c r="I66" s="12">
        <f t="shared" si="1"/>
        <v>0.12669429336096003</v>
      </c>
      <c r="J66" s="13">
        <f>IF(OR(B66="",C66=""),"",INDEX(Ref_Frete!$B$2:$G$54,MATCH(C66,Ref_Frete!$A$2:$A$54,0),IF(B66="Pequenos",2,IF(B66="Medios",4,6))))</f>
        <v>16.899999999999999</v>
      </c>
      <c r="K66" s="13">
        <f>IF(OR(B66="",C66=""),"",INDEX(Ref_Frete!$B$2:$G$54,MATCH(C66,Ref_Frete!$A$2:$A$54,0),IF(B66="Pequenos",1,IF(B66="Medios",3,5))))</f>
        <v>30</v>
      </c>
      <c r="L66" s="13">
        <f t="shared" si="2"/>
        <v>-13.100000000000001</v>
      </c>
      <c r="M66" s="13">
        <f t="shared" si="3"/>
        <v>45.533999999999999</v>
      </c>
      <c r="N66" s="12">
        <f t="shared" si="4"/>
        <v>0.19655529655529655</v>
      </c>
      <c r="O66" s="22" t="str">
        <f t="shared" si="5"/>
        <v>DENTRO DA META (15-20%)</v>
      </c>
      <c r="P66" s="23"/>
    </row>
    <row r="67" spans="1:16" ht="15" hidden="1" customHeight="1" x14ac:dyDescent="0.25">
      <c r="A67" s="19" t="s">
        <v>115</v>
      </c>
      <c r="B67" s="19" t="s">
        <v>96</v>
      </c>
      <c r="C67" s="19" t="s">
        <v>97</v>
      </c>
      <c r="D67" s="20">
        <v>319.58</v>
      </c>
      <c r="E67" s="21">
        <v>0</v>
      </c>
      <c r="F67" s="20">
        <v>156</v>
      </c>
      <c r="G67" s="13">
        <v>39.9</v>
      </c>
      <c r="H67" s="13">
        <f t="shared" si="0"/>
        <v>319.58</v>
      </c>
      <c r="I67" s="12">
        <f t="shared" si="1"/>
        <v>0.1248513674197384</v>
      </c>
      <c r="J67" s="13">
        <f>IF(OR(B67="",C67=""),"",INDEX(Ref_Frete!$B$2:$G$54,MATCH(C67,Ref_Frete!$A$2:$A$54,0),IF(B67="Pequenos",2,IF(B67="Medios",4,6))))</f>
        <v>24.9</v>
      </c>
      <c r="K67" s="13">
        <f>IF(OR(B67="",C67=""),"",INDEX(Ref_Frete!$B$2:$G$54,MATCH(C67,Ref_Frete!$A$2:$A$54,0),IF(B67="Pequenos",1,IF(B67="Medios",3,5))))</f>
        <v>46.5</v>
      </c>
      <c r="L67" s="13">
        <f t="shared" si="2"/>
        <v>-21.6</v>
      </c>
      <c r="M67" s="13">
        <f t="shared" si="3"/>
        <v>70.122000000000014</v>
      </c>
      <c r="N67" s="12">
        <f t="shared" si="4"/>
        <v>0.21941923774954633</v>
      </c>
      <c r="O67" s="22" t="str">
        <f t="shared" si="5"/>
        <v>ACIMA DA META (&gt;20%)</v>
      </c>
      <c r="P67" s="23"/>
    </row>
    <row r="68" spans="1:16" ht="15" customHeight="1" x14ac:dyDescent="0.25">
      <c r="A68" s="19" t="s">
        <v>115</v>
      </c>
      <c r="B68" s="19" t="s">
        <v>96</v>
      </c>
      <c r="C68" s="19" t="s">
        <v>98</v>
      </c>
      <c r="D68" s="20">
        <v>319.58</v>
      </c>
      <c r="E68" s="21">
        <v>0</v>
      </c>
      <c r="F68" s="20">
        <v>156</v>
      </c>
      <c r="G68" s="13">
        <v>39.9</v>
      </c>
      <c r="H68" s="13">
        <f t="shared" si="0"/>
        <v>319.58</v>
      </c>
      <c r="I68" s="12">
        <f t="shared" si="1"/>
        <v>0.1248513674197384</v>
      </c>
      <c r="J68" s="13">
        <f>IF(OR(B68="",C68=""),"",INDEX(Ref_Frete!$B$2:$G$54,MATCH(C68,Ref_Frete!$A$2:$A$54,0),IF(B68="Pequenos",2,IF(B68="Medios",4,6))))</f>
        <v>16.899999999999999</v>
      </c>
      <c r="K68" s="13">
        <f>IF(OR(B68="",C68=""),"",INDEX(Ref_Frete!$B$2:$G$54,MATCH(C68,Ref_Frete!$A$2:$A$54,0),IF(B68="Pequenos",1,IF(B68="Medios",3,5))))</f>
        <v>30</v>
      </c>
      <c r="L68" s="13">
        <f t="shared" si="2"/>
        <v>-13.100000000000001</v>
      </c>
      <c r="M68" s="13">
        <f t="shared" si="3"/>
        <v>78.622000000000014</v>
      </c>
      <c r="N68" s="12">
        <f t="shared" si="4"/>
        <v>0.24601664684898936</v>
      </c>
      <c r="O68" s="22" t="str">
        <f t="shared" si="5"/>
        <v>ACIMA DA META (&gt;20%)</v>
      </c>
      <c r="P68" s="23"/>
    </row>
    <row r="69" spans="1:16" ht="15" hidden="1" customHeight="1" x14ac:dyDescent="0.25">
      <c r="A69" s="19" t="s">
        <v>116</v>
      </c>
      <c r="B69" s="19" t="s">
        <v>96</v>
      </c>
      <c r="C69" s="19" t="s">
        <v>97</v>
      </c>
      <c r="D69" s="20">
        <v>253.58</v>
      </c>
      <c r="E69" s="21">
        <v>0</v>
      </c>
      <c r="F69" s="20">
        <v>132.03</v>
      </c>
      <c r="G69" s="13">
        <v>31.98</v>
      </c>
      <c r="H69" s="13">
        <f t="shared" si="0"/>
        <v>253.58</v>
      </c>
      <c r="I69" s="12">
        <f t="shared" si="1"/>
        <v>0.12611404684912059</v>
      </c>
      <c r="J69" s="13">
        <f>IF(OR(B69="",C69=""),"",INDEX(Ref_Frete!$B$2:$G$54,MATCH(C69,Ref_Frete!$A$2:$A$54,0),IF(B69="Pequenos",2,IF(B69="Medios",4,6))))</f>
        <v>24.9</v>
      </c>
      <c r="K69" s="13">
        <f>IF(OR(B69="",C69=""),"",INDEX(Ref_Frete!$B$2:$G$54,MATCH(C69,Ref_Frete!$A$2:$A$54,0),IF(B69="Pequenos",1,IF(B69="Medios",3,5))))</f>
        <v>46.5</v>
      </c>
      <c r="L69" s="13">
        <f t="shared" si="2"/>
        <v>-21.6</v>
      </c>
      <c r="M69" s="13">
        <f t="shared" si="3"/>
        <v>42.612000000000016</v>
      </c>
      <c r="N69" s="12">
        <f t="shared" si="4"/>
        <v>0.16804164366274948</v>
      </c>
      <c r="O69" s="22" t="str">
        <f t="shared" si="5"/>
        <v>DENTRO DA META (15-20%)</v>
      </c>
      <c r="P69" s="23"/>
    </row>
    <row r="70" spans="1:16" ht="15" customHeight="1" x14ac:dyDescent="0.25">
      <c r="A70" s="19" t="s">
        <v>116</v>
      </c>
      <c r="B70" s="19" t="s">
        <v>96</v>
      </c>
      <c r="C70" s="19" t="s">
        <v>98</v>
      </c>
      <c r="D70" s="20">
        <v>253.58</v>
      </c>
      <c r="E70" s="21">
        <v>0</v>
      </c>
      <c r="F70" s="20">
        <v>132.03</v>
      </c>
      <c r="G70" s="13">
        <v>31.98</v>
      </c>
      <c r="H70" s="13">
        <f t="shared" si="0"/>
        <v>253.58</v>
      </c>
      <c r="I70" s="12">
        <f t="shared" si="1"/>
        <v>0.12611404684912059</v>
      </c>
      <c r="J70" s="13">
        <f>IF(OR(B70="",C70=""),"",INDEX(Ref_Frete!$B$2:$G$54,MATCH(C70,Ref_Frete!$A$2:$A$54,0),IF(B70="Pequenos",2,IF(B70="Medios",4,6))))</f>
        <v>16.899999999999999</v>
      </c>
      <c r="K70" s="13">
        <f>IF(OR(B70="",C70=""),"",INDEX(Ref_Frete!$B$2:$G$54,MATCH(C70,Ref_Frete!$A$2:$A$54,0),IF(B70="Pequenos",1,IF(B70="Medios",3,5))))</f>
        <v>30</v>
      </c>
      <c r="L70" s="13">
        <f t="shared" si="2"/>
        <v>-13.100000000000001</v>
      </c>
      <c r="M70" s="13">
        <f t="shared" si="3"/>
        <v>51.112000000000016</v>
      </c>
      <c r="N70" s="12">
        <f t="shared" si="4"/>
        <v>0.20156163735310362</v>
      </c>
      <c r="O70" s="22" t="str">
        <f t="shared" si="5"/>
        <v>ACIMA DA META (&gt;20%)</v>
      </c>
      <c r="P70" s="23"/>
    </row>
    <row r="71" spans="1:16" ht="15" hidden="1" customHeight="1" x14ac:dyDescent="0.25">
      <c r="A71" s="19" t="s">
        <v>38</v>
      </c>
      <c r="B71" s="19" t="s">
        <v>96</v>
      </c>
      <c r="C71" s="19" t="s">
        <v>97</v>
      </c>
      <c r="D71" s="20">
        <v>259.89999999999998</v>
      </c>
      <c r="E71" s="21">
        <v>0</v>
      </c>
      <c r="F71" s="20">
        <v>139.49</v>
      </c>
      <c r="G71" s="13">
        <v>33.17</v>
      </c>
      <c r="H71" s="13">
        <f t="shared" ref="H71:H134" si="6">IF(D71="","",D71*(1-E71))</f>
        <v>259.89999999999998</v>
      </c>
      <c r="I71" s="12">
        <f t="shared" ref="I71:I134" si="7">IF(OR(G71="",H71=""),"",G71/H71)</f>
        <v>0.12762601000384766</v>
      </c>
      <c r="J71" s="13">
        <f>IF(OR(B71="",C71=""),"",INDEX(Ref_Frete!$B$2:$G$54,MATCH(C71,Ref_Frete!$A$2:$A$54,0),IF(B71="Pequenos",2,IF(B71="Medios",4,6))))</f>
        <v>24.9</v>
      </c>
      <c r="K71" s="13">
        <f>IF(OR(B71="",C71=""),"",INDEX(Ref_Frete!$B$2:$G$54,MATCH(C71,Ref_Frete!$A$2:$A$54,0),IF(B71="Pequenos",1,IF(B71="Medios",3,5))))</f>
        <v>46.5</v>
      </c>
      <c r="L71" s="13">
        <f t="shared" ref="L71:L134" si="8">IF(OR(J71="",K71=""),"",J71-K71)</f>
        <v>-21.6</v>
      </c>
      <c r="M71" s="13">
        <f t="shared" ref="M71:M134" si="9">IF(OR(H71="",F71="",G71=""),"",H71-G71-F71-H71*$B$3+IF(L71="",0,L71))</f>
        <v>39.649999999999956</v>
      </c>
      <c r="N71" s="12">
        <f t="shared" ref="N71:N134" si="10">IF(OR(M71="",H71=0,H71=""),"",M71/H71)</f>
        <v>0.15255867641400522</v>
      </c>
      <c r="O71" s="22" t="str">
        <f t="shared" ref="O71:O134" si="11">IF(N71="","",IF(N71&lt;0,"PREJUÍZO",IF(N71&lt;0.1,"CRÍTICO (&lt;10%)",IF(N71&lt;0.15,"ABAIXO DA META (10-15%)",IF(N71&lt;=0.2,"DENTRO DA META (15-20%)","ACIMA DA META (&gt;20%)")))))</f>
        <v>DENTRO DA META (15-20%)</v>
      </c>
      <c r="P71" s="23"/>
    </row>
    <row r="72" spans="1:16" ht="15" hidden="1" customHeight="1" x14ac:dyDescent="0.25">
      <c r="A72" s="19" t="s">
        <v>38</v>
      </c>
      <c r="B72" s="19" t="s">
        <v>96</v>
      </c>
      <c r="C72" s="19" t="s">
        <v>98</v>
      </c>
      <c r="D72" s="20">
        <v>259.89999999999998</v>
      </c>
      <c r="E72" s="21">
        <v>0</v>
      </c>
      <c r="F72" s="20">
        <v>139.49</v>
      </c>
      <c r="G72" s="13">
        <v>33.17</v>
      </c>
      <c r="H72" s="13">
        <f t="shared" si="6"/>
        <v>259.89999999999998</v>
      </c>
      <c r="I72" s="12">
        <f t="shared" si="7"/>
        <v>0.12762601000384766</v>
      </c>
      <c r="J72" s="13">
        <f>IF(OR(B72="",C72=""),"",INDEX(Ref_Frete!$B$2:$G$54,MATCH(C72,Ref_Frete!$A$2:$A$54,0),IF(B72="Pequenos",2,IF(B72="Medios",4,6))))</f>
        <v>16.899999999999999</v>
      </c>
      <c r="K72" s="13">
        <f>IF(OR(B72="",C72=""),"",INDEX(Ref_Frete!$B$2:$G$54,MATCH(C72,Ref_Frete!$A$2:$A$54,0),IF(B72="Pequenos",1,IF(B72="Medios",3,5))))</f>
        <v>30</v>
      </c>
      <c r="L72" s="13">
        <f t="shared" si="8"/>
        <v>-13.100000000000001</v>
      </c>
      <c r="M72" s="13">
        <f t="shared" si="9"/>
        <v>48.149999999999956</v>
      </c>
      <c r="N72" s="12">
        <f t="shared" si="10"/>
        <v>0.18526356290881094</v>
      </c>
      <c r="O72" s="22" t="str">
        <f t="shared" si="11"/>
        <v>DENTRO DA META (15-20%)</v>
      </c>
      <c r="P72" s="23"/>
    </row>
    <row r="73" spans="1:16" ht="15" hidden="1" customHeight="1" x14ac:dyDescent="0.25">
      <c r="A73" s="19" t="s">
        <v>117</v>
      </c>
      <c r="B73" s="19" t="s">
        <v>96</v>
      </c>
      <c r="C73" s="19" t="s">
        <v>97</v>
      </c>
      <c r="D73" s="20">
        <v>284.39</v>
      </c>
      <c r="E73" s="21">
        <v>0</v>
      </c>
      <c r="F73" s="20">
        <v>151.31</v>
      </c>
      <c r="G73" s="13">
        <v>35.67</v>
      </c>
      <c r="H73" s="13">
        <f t="shared" si="6"/>
        <v>284.39</v>
      </c>
      <c r="I73" s="12">
        <f t="shared" si="7"/>
        <v>0.12542635113752243</v>
      </c>
      <c r="J73" s="13">
        <f>IF(OR(B73="",C73=""),"",INDEX(Ref_Frete!$B$2:$G$54,MATCH(C73,Ref_Frete!$A$2:$A$54,0),IF(B73="Pequenos",2,IF(B73="Medios",4,6))))</f>
        <v>24.9</v>
      </c>
      <c r="K73" s="13">
        <f>IF(OR(B73="",C73=""),"",INDEX(Ref_Frete!$B$2:$G$54,MATCH(C73,Ref_Frete!$A$2:$A$54,0),IF(B73="Pequenos",1,IF(B73="Medios",3,5))))</f>
        <v>46.5</v>
      </c>
      <c r="L73" s="13">
        <f t="shared" si="8"/>
        <v>-21.6</v>
      </c>
      <c r="M73" s="13">
        <f t="shared" si="9"/>
        <v>47.370999999999974</v>
      </c>
      <c r="N73" s="12">
        <f t="shared" si="10"/>
        <v>0.16657055452020106</v>
      </c>
      <c r="O73" s="22" t="str">
        <f t="shared" si="11"/>
        <v>DENTRO DA META (15-20%)</v>
      </c>
      <c r="P73" s="23"/>
    </row>
    <row r="74" spans="1:16" ht="15" customHeight="1" x14ac:dyDescent="0.25">
      <c r="A74" s="19" t="s">
        <v>117</v>
      </c>
      <c r="B74" s="19" t="s">
        <v>96</v>
      </c>
      <c r="C74" s="19" t="s">
        <v>98</v>
      </c>
      <c r="D74" s="20">
        <v>284.39</v>
      </c>
      <c r="E74" s="21">
        <v>0</v>
      </c>
      <c r="F74" s="20">
        <v>151.31</v>
      </c>
      <c r="G74" s="13">
        <v>35.67</v>
      </c>
      <c r="H74" s="13">
        <f t="shared" si="6"/>
        <v>284.39</v>
      </c>
      <c r="I74" s="12">
        <f t="shared" si="7"/>
        <v>0.12542635113752243</v>
      </c>
      <c r="J74" s="13">
        <f>IF(OR(B74="",C74=""),"",INDEX(Ref_Frete!$B$2:$G$54,MATCH(C74,Ref_Frete!$A$2:$A$54,0),IF(B74="Pequenos",2,IF(B74="Medios",4,6))))</f>
        <v>16.899999999999999</v>
      </c>
      <c r="K74" s="13">
        <f>IF(OR(B74="",C74=""),"",INDEX(Ref_Frete!$B$2:$G$54,MATCH(C74,Ref_Frete!$A$2:$A$54,0),IF(B74="Pequenos",1,IF(B74="Medios",3,5))))</f>
        <v>30</v>
      </c>
      <c r="L74" s="13">
        <f t="shared" si="8"/>
        <v>-13.100000000000001</v>
      </c>
      <c r="M74" s="13">
        <f t="shared" si="9"/>
        <v>55.870999999999974</v>
      </c>
      <c r="N74" s="12">
        <f t="shared" si="10"/>
        <v>0.19645908787228797</v>
      </c>
      <c r="O74" s="22" t="str">
        <f t="shared" si="11"/>
        <v>DENTRO DA META (15-20%)</v>
      </c>
      <c r="P74" s="23"/>
    </row>
    <row r="75" spans="1:16" ht="15" hidden="1" customHeight="1" x14ac:dyDescent="0.25">
      <c r="A75" s="19" t="s">
        <v>118</v>
      </c>
      <c r="B75" s="19" t="s">
        <v>96</v>
      </c>
      <c r="C75" s="19" t="s">
        <v>97</v>
      </c>
      <c r="D75" s="20">
        <v>165.4</v>
      </c>
      <c r="E75" s="21">
        <v>0</v>
      </c>
      <c r="F75" s="20">
        <v>81.62</v>
      </c>
      <c r="G75" s="13">
        <v>21.4</v>
      </c>
      <c r="H75" s="13">
        <f t="shared" si="6"/>
        <v>165.4</v>
      </c>
      <c r="I75" s="12">
        <f t="shared" si="7"/>
        <v>0.12938331318016927</v>
      </c>
      <c r="J75" s="13">
        <f>IF(OR(B75="",C75=""),"",INDEX(Ref_Frete!$B$2:$G$54,MATCH(C75,Ref_Frete!$A$2:$A$54,0),IF(B75="Pequenos",2,IF(B75="Medios",4,6))))</f>
        <v>24.9</v>
      </c>
      <c r="K75" s="13">
        <f>IF(OR(B75="",C75=""),"",INDEX(Ref_Frete!$B$2:$G$54,MATCH(C75,Ref_Frete!$A$2:$A$54,0),IF(B75="Pequenos",1,IF(B75="Medios",3,5))))</f>
        <v>46.5</v>
      </c>
      <c r="L75" s="13">
        <f t="shared" si="8"/>
        <v>-21.6</v>
      </c>
      <c r="M75" s="13">
        <f t="shared" si="9"/>
        <v>24.239999999999988</v>
      </c>
      <c r="N75" s="12">
        <f t="shared" si="10"/>
        <v>0.14655380894800477</v>
      </c>
      <c r="O75" s="22" t="str">
        <f t="shared" si="11"/>
        <v>ABAIXO DA META (10-15%)</v>
      </c>
      <c r="P75" s="23"/>
    </row>
    <row r="76" spans="1:16" ht="15" customHeight="1" x14ac:dyDescent="0.25">
      <c r="A76" s="19" t="s">
        <v>118</v>
      </c>
      <c r="B76" s="19" t="s">
        <v>96</v>
      </c>
      <c r="C76" s="19" t="s">
        <v>98</v>
      </c>
      <c r="D76" s="20">
        <v>165.4</v>
      </c>
      <c r="E76" s="21">
        <v>0</v>
      </c>
      <c r="F76" s="20">
        <v>81.62</v>
      </c>
      <c r="G76" s="13">
        <v>21.4</v>
      </c>
      <c r="H76" s="13">
        <f t="shared" si="6"/>
        <v>165.4</v>
      </c>
      <c r="I76" s="12">
        <f t="shared" si="7"/>
        <v>0.12938331318016927</v>
      </c>
      <c r="J76" s="13">
        <f>IF(OR(B76="",C76=""),"",INDEX(Ref_Frete!$B$2:$G$54,MATCH(C76,Ref_Frete!$A$2:$A$54,0),IF(B76="Pequenos",2,IF(B76="Medios",4,6))))</f>
        <v>16.899999999999999</v>
      </c>
      <c r="K76" s="13">
        <f>IF(OR(B76="",C76=""),"",INDEX(Ref_Frete!$B$2:$G$54,MATCH(C76,Ref_Frete!$A$2:$A$54,0),IF(B76="Pequenos",1,IF(B76="Medios",3,5))))</f>
        <v>30</v>
      </c>
      <c r="L76" s="13">
        <f t="shared" si="8"/>
        <v>-13.100000000000001</v>
      </c>
      <c r="M76" s="13">
        <f t="shared" si="9"/>
        <v>32.739999999999988</v>
      </c>
      <c r="N76" s="12">
        <f t="shared" si="10"/>
        <v>0.19794437726723088</v>
      </c>
      <c r="O76" s="22" t="str">
        <f t="shared" si="11"/>
        <v>DENTRO DA META (15-20%)</v>
      </c>
      <c r="P76" s="23"/>
    </row>
    <row r="77" spans="1:16" ht="15" hidden="1" customHeight="1" x14ac:dyDescent="0.25">
      <c r="A77" s="19" t="s">
        <v>119</v>
      </c>
      <c r="B77" s="19" t="s">
        <v>96</v>
      </c>
      <c r="C77" s="19" t="s">
        <v>97</v>
      </c>
      <c r="D77" s="20">
        <v>198.79</v>
      </c>
      <c r="E77" s="21">
        <v>0</v>
      </c>
      <c r="F77" s="20">
        <v>99.57</v>
      </c>
      <c r="G77" s="13">
        <v>25.4</v>
      </c>
      <c r="H77" s="13">
        <f t="shared" si="6"/>
        <v>198.79</v>
      </c>
      <c r="I77" s="12">
        <f t="shared" si="7"/>
        <v>0.12777302681221389</v>
      </c>
      <c r="J77" s="13">
        <f>IF(OR(B77="",C77=""),"",INDEX(Ref_Frete!$B$2:$G$54,MATCH(C77,Ref_Frete!$A$2:$A$54,0),IF(B77="Pequenos",2,IF(B77="Medios",4,6))))</f>
        <v>24.9</v>
      </c>
      <c r="K77" s="13">
        <f>IF(OR(B77="",C77=""),"",INDEX(Ref_Frete!$B$2:$G$54,MATCH(C77,Ref_Frete!$A$2:$A$54,0),IF(B77="Pequenos",1,IF(B77="Medios",3,5))))</f>
        <v>46.5</v>
      </c>
      <c r="L77" s="13">
        <f t="shared" si="8"/>
        <v>-21.6</v>
      </c>
      <c r="M77" s="13">
        <f t="shared" si="9"/>
        <v>32.340999999999987</v>
      </c>
      <c r="N77" s="12">
        <f t="shared" si="10"/>
        <v>0.16268927008400819</v>
      </c>
      <c r="O77" s="22" t="str">
        <f t="shared" si="11"/>
        <v>DENTRO DA META (15-20%)</v>
      </c>
      <c r="P77" s="23"/>
    </row>
    <row r="78" spans="1:16" ht="15" customHeight="1" x14ac:dyDescent="0.25">
      <c r="A78" s="19" t="s">
        <v>119</v>
      </c>
      <c r="B78" s="19" t="s">
        <v>96</v>
      </c>
      <c r="C78" s="19" t="s">
        <v>98</v>
      </c>
      <c r="D78" s="20">
        <v>198.79</v>
      </c>
      <c r="E78" s="21">
        <v>0</v>
      </c>
      <c r="F78" s="20">
        <v>99.57</v>
      </c>
      <c r="G78" s="13">
        <v>25.4</v>
      </c>
      <c r="H78" s="13">
        <f t="shared" si="6"/>
        <v>198.79</v>
      </c>
      <c r="I78" s="12">
        <f t="shared" si="7"/>
        <v>0.12777302681221389</v>
      </c>
      <c r="J78" s="13">
        <f>IF(OR(B78="",C78=""),"",INDEX(Ref_Frete!$B$2:$G$54,MATCH(C78,Ref_Frete!$A$2:$A$54,0),IF(B78="Pequenos",2,IF(B78="Medios",4,6))))</f>
        <v>16.899999999999999</v>
      </c>
      <c r="K78" s="13">
        <f>IF(OR(B78="",C78=""),"",INDEX(Ref_Frete!$B$2:$G$54,MATCH(C78,Ref_Frete!$A$2:$A$54,0),IF(B78="Pequenos",1,IF(B78="Medios",3,5))))</f>
        <v>30</v>
      </c>
      <c r="L78" s="13">
        <f t="shared" si="8"/>
        <v>-13.100000000000001</v>
      </c>
      <c r="M78" s="13">
        <f t="shared" si="9"/>
        <v>40.840999999999987</v>
      </c>
      <c r="N78" s="12">
        <f t="shared" si="10"/>
        <v>0.20544796015896166</v>
      </c>
      <c r="O78" s="22" t="str">
        <f t="shared" si="11"/>
        <v>ACIMA DA META (&gt;20%)</v>
      </c>
      <c r="P78" s="23"/>
    </row>
    <row r="79" spans="1:16" ht="15" hidden="1" customHeight="1" x14ac:dyDescent="0.25">
      <c r="A79" s="19" t="s">
        <v>120</v>
      </c>
      <c r="B79" s="19" t="s">
        <v>96</v>
      </c>
      <c r="C79" s="19" t="s">
        <v>97</v>
      </c>
      <c r="D79" s="20">
        <v>219.68</v>
      </c>
      <c r="E79" s="21">
        <v>0</v>
      </c>
      <c r="F79" s="20">
        <v>111.27</v>
      </c>
      <c r="G79" s="13">
        <v>27.91</v>
      </c>
      <c r="H79" s="13">
        <f t="shared" si="6"/>
        <v>219.68</v>
      </c>
      <c r="I79" s="12">
        <f t="shared" si="7"/>
        <v>0.12704843408594318</v>
      </c>
      <c r="J79" s="13">
        <f>IF(OR(B79="",C79=""),"",INDEX(Ref_Frete!$B$2:$G$54,MATCH(C79,Ref_Frete!$A$2:$A$54,0),IF(B79="Pequenos",2,IF(B79="Medios",4,6))))</f>
        <v>24.9</v>
      </c>
      <c r="K79" s="13">
        <f>IF(OR(B79="",C79=""),"",INDEX(Ref_Frete!$B$2:$G$54,MATCH(C79,Ref_Frete!$A$2:$A$54,0),IF(B79="Pequenos",1,IF(B79="Medios",3,5))))</f>
        <v>46.5</v>
      </c>
      <c r="L79" s="13">
        <f t="shared" si="8"/>
        <v>-21.6</v>
      </c>
      <c r="M79" s="13">
        <f t="shared" si="9"/>
        <v>36.932000000000009</v>
      </c>
      <c r="N79" s="12">
        <f t="shared" si="10"/>
        <v>0.16811726147123091</v>
      </c>
      <c r="O79" s="22" t="str">
        <f t="shared" si="11"/>
        <v>DENTRO DA META (15-20%)</v>
      </c>
      <c r="P79" s="23"/>
    </row>
    <row r="80" spans="1:16" ht="15" customHeight="1" x14ac:dyDescent="0.25">
      <c r="A80" s="19" t="s">
        <v>120</v>
      </c>
      <c r="B80" s="19" t="s">
        <v>96</v>
      </c>
      <c r="C80" s="19" t="s">
        <v>98</v>
      </c>
      <c r="D80" s="20">
        <v>219.68</v>
      </c>
      <c r="E80" s="21">
        <v>0</v>
      </c>
      <c r="F80" s="20">
        <v>111.27</v>
      </c>
      <c r="G80" s="13">
        <v>27.91</v>
      </c>
      <c r="H80" s="13">
        <f t="shared" si="6"/>
        <v>219.68</v>
      </c>
      <c r="I80" s="12">
        <f t="shared" si="7"/>
        <v>0.12704843408594318</v>
      </c>
      <c r="J80" s="13">
        <f>IF(OR(B80="",C80=""),"",INDEX(Ref_Frete!$B$2:$G$54,MATCH(C80,Ref_Frete!$A$2:$A$54,0),IF(B80="Pequenos",2,IF(B80="Medios",4,6))))</f>
        <v>16.899999999999999</v>
      </c>
      <c r="K80" s="13">
        <f>IF(OR(B80="",C80=""),"",INDEX(Ref_Frete!$B$2:$G$54,MATCH(C80,Ref_Frete!$A$2:$A$54,0),IF(B80="Pequenos",1,IF(B80="Medios",3,5))))</f>
        <v>30</v>
      </c>
      <c r="L80" s="13">
        <f t="shared" si="8"/>
        <v>-13.100000000000001</v>
      </c>
      <c r="M80" s="13">
        <f t="shared" si="9"/>
        <v>45.432000000000009</v>
      </c>
      <c r="N80" s="12">
        <f t="shared" si="10"/>
        <v>0.2068099053168245</v>
      </c>
      <c r="O80" s="22" t="str">
        <f t="shared" si="11"/>
        <v>ACIMA DA META (&gt;20%)</v>
      </c>
      <c r="P80" s="23"/>
    </row>
    <row r="81" spans="1:16" ht="15" hidden="1" customHeight="1" x14ac:dyDescent="0.25">
      <c r="A81" s="19" t="s">
        <v>121</v>
      </c>
      <c r="B81" s="19" t="s">
        <v>96</v>
      </c>
      <c r="C81" s="19" t="s">
        <v>97</v>
      </c>
      <c r="D81" s="20">
        <v>238.25</v>
      </c>
      <c r="E81" s="21">
        <v>0</v>
      </c>
      <c r="F81" s="20">
        <v>121.08</v>
      </c>
      <c r="G81" s="13">
        <v>30.14</v>
      </c>
      <c r="H81" s="13">
        <f t="shared" si="6"/>
        <v>238.25</v>
      </c>
      <c r="I81" s="12">
        <f t="shared" si="7"/>
        <v>0.12650577124868836</v>
      </c>
      <c r="J81" s="13">
        <f>IF(OR(B81="",C81=""),"",INDEX(Ref_Frete!$B$2:$G$54,MATCH(C81,Ref_Frete!$A$2:$A$54,0),IF(B81="Pequenos",2,IF(B81="Medios",4,6))))</f>
        <v>24.9</v>
      </c>
      <c r="K81" s="13">
        <f>IF(OR(B81="",C81=""),"",INDEX(Ref_Frete!$B$2:$G$54,MATCH(C81,Ref_Frete!$A$2:$A$54,0),IF(B81="Pequenos",1,IF(B81="Medios",3,5))))</f>
        <v>46.5</v>
      </c>
      <c r="L81" s="13">
        <f t="shared" si="8"/>
        <v>-21.6</v>
      </c>
      <c r="M81" s="13">
        <f t="shared" si="9"/>
        <v>41.605000000000011</v>
      </c>
      <c r="N81" s="12">
        <f t="shared" si="10"/>
        <v>0.17462749213011547</v>
      </c>
      <c r="O81" s="22" t="str">
        <f t="shared" si="11"/>
        <v>DENTRO DA META (15-20%)</v>
      </c>
      <c r="P81" s="23"/>
    </row>
    <row r="82" spans="1:16" ht="15" customHeight="1" x14ac:dyDescent="0.25">
      <c r="A82" s="19" t="s">
        <v>121</v>
      </c>
      <c r="B82" s="19" t="s">
        <v>96</v>
      </c>
      <c r="C82" s="19" t="s">
        <v>98</v>
      </c>
      <c r="D82" s="20">
        <v>238.25</v>
      </c>
      <c r="E82" s="21">
        <v>0</v>
      </c>
      <c r="F82" s="20">
        <v>121.08</v>
      </c>
      <c r="G82" s="13">
        <v>30.14</v>
      </c>
      <c r="H82" s="13">
        <f t="shared" si="6"/>
        <v>238.25</v>
      </c>
      <c r="I82" s="12">
        <f t="shared" si="7"/>
        <v>0.12650577124868836</v>
      </c>
      <c r="J82" s="13">
        <f>IF(OR(B82="",C82=""),"",INDEX(Ref_Frete!$B$2:$G$54,MATCH(C82,Ref_Frete!$A$2:$A$54,0),IF(B82="Pequenos",2,IF(B82="Medios",4,6))))</f>
        <v>16.899999999999999</v>
      </c>
      <c r="K82" s="13">
        <f>IF(OR(B82="",C82=""),"",INDEX(Ref_Frete!$B$2:$G$54,MATCH(C82,Ref_Frete!$A$2:$A$54,0),IF(B82="Pequenos",1,IF(B82="Medios",3,5))))</f>
        <v>30</v>
      </c>
      <c r="L82" s="13">
        <f t="shared" si="8"/>
        <v>-13.100000000000001</v>
      </c>
      <c r="M82" s="13">
        <f t="shared" si="9"/>
        <v>50.105000000000011</v>
      </c>
      <c r="N82" s="12">
        <f t="shared" si="10"/>
        <v>0.21030430220356772</v>
      </c>
      <c r="O82" s="22" t="str">
        <f t="shared" si="11"/>
        <v>ACIMA DA META (&gt;20%)</v>
      </c>
      <c r="P82" s="23"/>
    </row>
    <row r="83" spans="1:16" ht="15" hidden="1" customHeight="1" x14ac:dyDescent="0.25">
      <c r="A83" s="19" t="s">
        <v>122</v>
      </c>
      <c r="B83" s="19" t="s">
        <v>96</v>
      </c>
      <c r="C83" s="19" t="s">
        <v>97</v>
      </c>
      <c r="D83" s="20">
        <v>244.29</v>
      </c>
      <c r="E83" s="21">
        <v>0</v>
      </c>
      <c r="F83" s="20">
        <v>124.7</v>
      </c>
      <c r="G83" s="13">
        <v>30.86</v>
      </c>
      <c r="H83" s="13">
        <f t="shared" si="6"/>
        <v>244.29</v>
      </c>
      <c r="I83" s="12">
        <f t="shared" si="7"/>
        <v>0.12632526914732489</v>
      </c>
      <c r="J83" s="13">
        <f>IF(OR(B83="",C83=""),"",INDEX(Ref_Frete!$B$2:$G$54,MATCH(C83,Ref_Frete!$A$2:$A$54,0),IF(B83="Pequenos",2,IF(B83="Medios",4,6))))</f>
        <v>24.9</v>
      </c>
      <c r="K83" s="13">
        <f>IF(OR(B83="",C83=""),"",INDEX(Ref_Frete!$B$2:$G$54,MATCH(C83,Ref_Frete!$A$2:$A$54,0),IF(B83="Pequenos",1,IF(B83="Medios",3,5))))</f>
        <v>46.5</v>
      </c>
      <c r="L83" s="13">
        <f t="shared" si="8"/>
        <v>-21.6</v>
      </c>
      <c r="M83" s="13">
        <f t="shared" si="9"/>
        <v>42.701000000000001</v>
      </c>
      <c r="N83" s="12">
        <f t="shared" si="10"/>
        <v>0.17479634860207133</v>
      </c>
      <c r="O83" s="22" t="str">
        <f t="shared" si="11"/>
        <v>DENTRO DA META (15-20%)</v>
      </c>
      <c r="P83" s="23"/>
    </row>
    <row r="84" spans="1:16" ht="15" customHeight="1" x14ac:dyDescent="0.25">
      <c r="A84" s="19" t="s">
        <v>122</v>
      </c>
      <c r="B84" s="19" t="s">
        <v>96</v>
      </c>
      <c r="C84" s="19" t="s">
        <v>98</v>
      </c>
      <c r="D84" s="20">
        <v>244.29</v>
      </c>
      <c r="E84" s="21">
        <v>0</v>
      </c>
      <c r="F84" s="20">
        <v>124.7</v>
      </c>
      <c r="G84" s="13">
        <v>30.86</v>
      </c>
      <c r="H84" s="13">
        <f t="shared" si="6"/>
        <v>244.29</v>
      </c>
      <c r="I84" s="12">
        <f t="shared" si="7"/>
        <v>0.12632526914732489</v>
      </c>
      <c r="J84" s="13">
        <f>IF(OR(B84="",C84=""),"",INDEX(Ref_Frete!$B$2:$G$54,MATCH(C84,Ref_Frete!$A$2:$A$54,0),IF(B84="Pequenos",2,IF(B84="Medios",4,6))))</f>
        <v>16.899999999999999</v>
      </c>
      <c r="K84" s="13">
        <f>IF(OR(B84="",C84=""),"",INDEX(Ref_Frete!$B$2:$G$54,MATCH(C84,Ref_Frete!$A$2:$A$54,0),IF(B84="Pequenos",1,IF(B84="Medios",3,5))))</f>
        <v>30</v>
      </c>
      <c r="L84" s="13">
        <f t="shared" si="8"/>
        <v>-13.100000000000001</v>
      </c>
      <c r="M84" s="13">
        <f t="shared" si="9"/>
        <v>51.201000000000001</v>
      </c>
      <c r="N84" s="12">
        <f t="shared" si="10"/>
        <v>0.20959105980596832</v>
      </c>
      <c r="O84" s="22" t="str">
        <f t="shared" si="11"/>
        <v>ACIMA DA META (&gt;20%)</v>
      </c>
      <c r="P84" s="23"/>
    </row>
    <row r="85" spans="1:16" ht="15" hidden="1" customHeight="1" x14ac:dyDescent="0.25">
      <c r="A85" s="19" t="s">
        <v>123</v>
      </c>
      <c r="B85" s="19" t="s">
        <v>96</v>
      </c>
      <c r="C85" s="19" t="s">
        <v>97</v>
      </c>
      <c r="D85" s="20">
        <v>273.11</v>
      </c>
      <c r="E85" s="21">
        <v>0</v>
      </c>
      <c r="F85" s="20">
        <v>140.24</v>
      </c>
      <c r="G85" s="13">
        <v>34.32</v>
      </c>
      <c r="H85" s="13">
        <f t="shared" si="6"/>
        <v>273.11</v>
      </c>
      <c r="I85" s="12">
        <f t="shared" si="7"/>
        <v>0.12566365200834828</v>
      </c>
      <c r="J85" s="13">
        <f>IF(OR(B85="",C85=""),"",INDEX(Ref_Frete!$B$2:$G$54,MATCH(C85,Ref_Frete!$A$2:$A$54,0),IF(B85="Pequenos",2,IF(B85="Medios",4,6))))</f>
        <v>24.9</v>
      </c>
      <c r="K85" s="13">
        <f>IF(OR(B85="",C85=""),"",INDEX(Ref_Frete!$B$2:$G$54,MATCH(C85,Ref_Frete!$A$2:$A$54,0),IF(B85="Pequenos",1,IF(B85="Medios",3,5))))</f>
        <v>46.5</v>
      </c>
      <c r="L85" s="13">
        <f t="shared" si="8"/>
        <v>-21.6</v>
      </c>
      <c r="M85" s="13">
        <f t="shared" si="9"/>
        <v>49.639000000000003</v>
      </c>
      <c r="N85" s="12">
        <f t="shared" si="10"/>
        <v>0.18175460437186483</v>
      </c>
      <c r="O85" s="22" t="str">
        <f t="shared" si="11"/>
        <v>DENTRO DA META (15-20%)</v>
      </c>
      <c r="P85" s="23"/>
    </row>
    <row r="86" spans="1:16" ht="15" customHeight="1" x14ac:dyDescent="0.25">
      <c r="A86" s="19" t="s">
        <v>123</v>
      </c>
      <c r="B86" s="19" t="s">
        <v>96</v>
      </c>
      <c r="C86" s="19" t="s">
        <v>98</v>
      </c>
      <c r="D86" s="20">
        <v>273.11</v>
      </c>
      <c r="E86" s="21">
        <v>0</v>
      </c>
      <c r="F86" s="20">
        <v>140.24</v>
      </c>
      <c r="G86" s="13">
        <v>34.32</v>
      </c>
      <c r="H86" s="13">
        <f t="shared" si="6"/>
        <v>273.11</v>
      </c>
      <c r="I86" s="12">
        <f t="shared" si="7"/>
        <v>0.12566365200834828</v>
      </c>
      <c r="J86" s="13">
        <f>IF(OR(B86="",C86=""),"",INDEX(Ref_Frete!$B$2:$G$54,MATCH(C86,Ref_Frete!$A$2:$A$54,0),IF(B86="Pequenos",2,IF(B86="Medios",4,6))))</f>
        <v>16.899999999999999</v>
      </c>
      <c r="K86" s="13">
        <f>IF(OR(B86="",C86=""),"",INDEX(Ref_Frete!$B$2:$G$54,MATCH(C86,Ref_Frete!$A$2:$A$54,0),IF(B86="Pequenos",1,IF(B86="Medios",3,5))))</f>
        <v>30</v>
      </c>
      <c r="L86" s="13">
        <f t="shared" si="8"/>
        <v>-13.100000000000001</v>
      </c>
      <c r="M86" s="13">
        <f t="shared" si="9"/>
        <v>58.139000000000003</v>
      </c>
      <c r="N86" s="12">
        <f t="shared" si="10"/>
        <v>0.21287759510819818</v>
      </c>
      <c r="O86" s="22" t="str">
        <f t="shared" si="11"/>
        <v>ACIMA DA META (&gt;20%)</v>
      </c>
      <c r="P86" s="23"/>
    </row>
    <row r="87" spans="1:16" ht="15" hidden="1" customHeight="1" x14ac:dyDescent="0.25">
      <c r="A87" s="19" t="s">
        <v>124</v>
      </c>
      <c r="B87" s="19" t="s">
        <v>96</v>
      </c>
      <c r="C87" s="19" t="s">
        <v>97</v>
      </c>
      <c r="D87" s="20">
        <v>234.12</v>
      </c>
      <c r="E87" s="21">
        <v>0</v>
      </c>
      <c r="F87" s="20">
        <v>122.9</v>
      </c>
      <c r="G87" s="13">
        <v>29.64</v>
      </c>
      <c r="H87" s="13">
        <f t="shared" si="6"/>
        <v>234.12</v>
      </c>
      <c r="I87" s="12">
        <f t="shared" si="7"/>
        <v>0.12660174269605332</v>
      </c>
      <c r="J87" s="13">
        <f>IF(OR(B87="",C87=""),"",INDEX(Ref_Frete!$B$2:$G$54,MATCH(C87,Ref_Frete!$A$2:$A$54,0),IF(B87="Pequenos",2,IF(B87="Medios",4,6))))</f>
        <v>24.9</v>
      </c>
      <c r="K87" s="13">
        <f>IF(OR(B87="",C87=""),"",INDEX(Ref_Frete!$B$2:$G$54,MATCH(C87,Ref_Frete!$A$2:$A$54,0),IF(B87="Pequenos",1,IF(B87="Medios",3,5))))</f>
        <v>46.5</v>
      </c>
      <c r="L87" s="13">
        <f t="shared" si="8"/>
        <v>-21.6</v>
      </c>
      <c r="M87" s="13">
        <f t="shared" si="9"/>
        <v>36.568000000000005</v>
      </c>
      <c r="N87" s="12">
        <f t="shared" si="10"/>
        <v>0.15619340509140614</v>
      </c>
      <c r="O87" s="22" t="str">
        <f t="shared" si="11"/>
        <v>DENTRO DA META (15-20%)</v>
      </c>
      <c r="P87" s="23"/>
    </row>
    <row r="88" spans="1:16" ht="15" customHeight="1" x14ac:dyDescent="0.25">
      <c r="A88" s="19" t="s">
        <v>124</v>
      </c>
      <c r="B88" s="19" t="s">
        <v>96</v>
      </c>
      <c r="C88" s="19" t="s">
        <v>98</v>
      </c>
      <c r="D88" s="20">
        <v>234.12</v>
      </c>
      <c r="E88" s="21">
        <v>0</v>
      </c>
      <c r="F88" s="20">
        <v>122.9</v>
      </c>
      <c r="G88" s="13">
        <v>29.64</v>
      </c>
      <c r="H88" s="13">
        <f t="shared" si="6"/>
        <v>234.12</v>
      </c>
      <c r="I88" s="12">
        <f t="shared" si="7"/>
        <v>0.12660174269605332</v>
      </c>
      <c r="J88" s="13">
        <f>IF(OR(B88="",C88=""),"",INDEX(Ref_Frete!$B$2:$G$54,MATCH(C88,Ref_Frete!$A$2:$A$54,0),IF(B88="Pequenos",2,IF(B88="Medios",4,6))))</f>
        <v>16.899999999999999</v>
      </c>
      <c r="K88" s="13">
        <f>IF(OR(B88="",C88=""),"",INDEX(Ref_Frete!$B$2:$G$54,MATCH(C88,Ref_Frete!$A$2:$A$54,0),IF(B88="Pequenos",1,IF(B88="Medios",3,5))))</f>
        <v>30</v>
      </c>
      <c r="L88" s="13">
        <f t="shared" si="8"/>
        <v>-13.100000000000001</v>
      </c>
      <c r="M88" s="13">
        <f t="shared" si="9"/>
        <v>45.068000000000005</v>
      </c>
      <c r="N88" s="12">
        <f t="shared" si="10"/>
        <v>0.19249957286861441</v>
      </c>
      <c r="O88" s="22" t="str">
        <f t="shared" si="11"/>
        <v>DENTRO DA META (15-20%)</v>
      </c>
      <c r="P88" s="23"/>
    </row>
    <row r="89" spans="1:16" ht="15" hidden="1" customHeight="1" x14ac:dyDescent="0.25">
      <c r="A89" s="19" t="s">
        <v>125</v>
      </c>
      <c r="B89" s="19" t="s">
        <v>96</v>
      </c>
      <c r="C89" s="19" t="s">
        <v>97</v>
      </c>
      <c r="D89" s="20">
        <v>203.54</v>
      </c>
      <c r="E89" s="21">
        <v>0</v>
      </c>
      <c r="F89" s="20">
        <v>102.8</v>
      </c>
      <c r="G89" s="13">
        <v>23.81</v>
      </c>
      <c r="H89" s="13">
        <f t="shared" si="6"/>
        <v>203.54</v>
      </c>
      <c r="I89" s="12">
        <f t="shared" si="7"/>
        <v>0.11697946349611869</v>
      </c>
      <c r="J89" s="13">
        <f>IF(OR(B89="",C89=""),"",INDEX(Ref_Frete!$B$2:$G$54,MATCH(C89,Ref_Frete!$A$2:$A$54,0),IF(B89="Pequenos",2,IF(B89="Medios",4,6))))</f>
        <v>24.9</v>
      </c>
      <c r="K89" s="13">
        <f>IF(OR(B89="",C89=""),"",INDEX(Ref_Frete!$B$2:$G$54,MATCH(C89,Ref_Frete!$A$2:$A$54,0),IF(B89="Pequenos",1,IF(B89="Medios",3,5))))</f>
        <v>46.5</v>
      </c>
      <c r="L89" s="13">
        <f t="shared" si="8"/>
        <v>-21.6</v>
      </c>
      <c r="M89" s="13">
        <f t="shared" si="9"/>
        <v>34.975999999999992</v>
      </c>
      <c r="N89" s="12">
        <f t="shared" si="10"/>
        <v>0.17183845927090494</v>
      </c>
      <c r="O89" s="22" t="str">
        <f t="shared" si="11"/>
        <v>DENTRO DA META (15-20%)</v>
      </c>
      <c r="P89" s="23"/>
    </row>
    <row r="90" spans="1:16" ht="15" customHeight="1" x14ac:dyDescent="0.25">
      <c r="A90" s="19" t="s">
        <v>125</v>
      </c>
      <c r="B90" s="19" t="s">
        <v>96</v>
      </c>
      <c r="C90" s="19" t="s">
        <v>98</v>
      </c>
      <c r="D90" s="20">
        <v>203.54</v>
      </c>
      <c r="E90" s="21">
        <v>0</v>
      </c>
      <c r="F90" s="20">
        <v>102.8</v>
      </c>
      <c r="G90" s="13">
        <v>23.81</v>
      </c>
      <c r="H90" s="13">
        <f t="shared" si="6"/>
        <v>203.54</v>
      </c>
      <c r="I90" s="12">
        <f t="shared" si="7"/>
        <v>0.11697946349611869</v>
      </c>
      <c r="J90" s="13">
        <f>IF(OR(B90="",C90=""),"",INDEX(Ref_Frete!$B$2:$G$54,MATCH(C90,Ref_Frete!$A$2:$A$54,0),IF(B90="Pequenos",2,IF(B90="Medios",4,6))))</f>
        <v>16.899999999999999</v>
      </c>
      <c r="K90" s="13">
        <f>IF(OR(B90="",C90=""),"",INDEX(Ref_Frete!$B$2:$G$54,MATCH(C90,Ref_Frete!$A$2:$A$54,0),IF(B90="Pequenos",1,IF(B90="Medios",3,5))))</f>
        <v>30</v>
      </c>
      <c r="L90" s="13">
        <f t="shared" si="8"/>
        <v>-13.100000000000001</v>
      </c>
      <c r="M90" s="13">
        <f t="shared" si="9"/>
        <v>43.475999999999992</v>
      </c>
      <c r="N90" s="12">
        <f t="shared" si="10"/>
        <v>0.21359929252235429</v>
      </c>
      <c r="O90" s="22" t="str">
        <f t="shared" si="11"/>
        <v>ACIMA DA META (&gt;20%)</v>
      </c>
      <c r="P90" s="23"/>
    </row>
    <row r="91" spans="1:16" ht="15" hidden="1" customHeight="1" x14ac:dyDescent="0.25">
      <c r="A91" s="19" t="s">
        <v>126</v>
      </c>
      <c r="B91" s="19" t="s">
        <v>96</v>
      </c>
      <c r="C91" s="19" t="s">
        <v>97</v>
      </c>
      <c r="D91" s="20">
        <v>167.89</v>
      </c>
      <c r="E91" s="21">
        <v>0</v>
      </c>
      <c r="F91" s="20">
        <v>84.79</v>
      </c>
      <c r="G91" s="13">
        <v>19.89</v>
      </c>
      <c r="H91" s="13">
        <f t="shared" si="6"/>
        <v>167.89</v>
      </c>
      <c r="I91" s="12">
        <f t="shared" si="7"/>
        <v>0.11847042706534042</v>
      </c>
      <c r="J91" s="13">
        <f>IF(OR(B91="",C91=""),"",INDEX(Ref_Frete!$B$2:$G$54,MATCH(C91,Ref_Frete!$A$2:$A$54,0),IF(B91="Pequenos",2,IF(B91="Medios",4,6))))</f>
        <v>24.9</v>
      </c>
      <c r="K91" s="13">
        <f>IF(OR(B91="",C91=""),"",INDEX(Ref_Frete!$B$2:$G$54,MATCH(C91,Ref_Frete!$A$2:$A$54,0),IF(B91="Pequenos",1,IF(B91="Medios",3,5))))</f>
        <v>46.5</v>
      </c>
      <c r="L91" s="13">
        <f t="shared" si="8"/>
        <v>-21.6</v>
      </c>
      <c r="M91" s="13">
        <f t="shared" si="9"/>
        <v>24.820999999999991</v>
      </c>
      <c r="N91" s="12">
        <f t="shared" si="10"/>
        <v>0.14784084817439985</v>
      </c>
      <c r="O91" s="22" t="str">
        <f t="shared" si="11"/>
        <v>ABAIXO DA META (10-15%)</v>
      </c>
      <c r="P91" s="23"/>
    </row>
    <row r="92" spans="1:16" ht="15" customHeight="1" x14ac:dyDescent="0.25">
      <c r="A92" s="19" t="s">
        <v>126</v>
      </c>
      <c r="B92" s="19" t="s">
        <v>96</v>
      </c>
      <c r="C92" s="19" t="s">
        <v>98</v>
      </c>
      <c r="D92" s="20">
        <v>167.89</v>
      </c>
      <c r="E92" s="21">
        <v>0</v>
      </c>
      <c r="F92" s="20">
        <v>84.79</v>
      </c>
      <c r="G92" s="13">
        <v>19.89</v>
      </c>
      <c r="H92" s="13">
        <f t="shared" si="6"/>
        <v>167.89</v>
      </c>
      <c r="I92" s="12">
        <f t="shared" si="7"/>
        <v>0.11847042706534042</v>
      </c>
      <c r="J92" s="13">
        <f>IF(OR(B92="",C92=""),"",INDEX(Ref_Frete!$B$2:$G$54,MATCH(C92,Ref_Frete!$A$2:$A$54,0),IF(B92="Pequenos",2,IF(B92="Medios",4,6))))</f>
        <v>16.899999999999999</v>
      </c>
      <c r="K92" s="13">
        <f>IF(OR(B92="",C92=""),"",INDEX(Ref_Frete!$B$2:$G$54,MATCH(C92,Ref_Frete!$A$2:$A$54,0),IF(B92="Pequenos",1,IF(B92="Medios",3,5))))</f>
        <v>30</v>
      </c>
      <c r="L92" s="13">
        <f t="shared" si="8"/>
        <v>-13.100000000000001</v>
      </c>
      <c r="M92" s="13">
        <f t="shared" si="9"/>
        <v>33.320999999999991</v>
      </c>
      <c r="N92" s="12">
        <f t="shared" si="10"/>
        <v>0.19846923580916073</v>
      </c>
      <c r="O92" s="22" t="str">
        <f t="shared" si="11"/>
        <v>DENTRO DA META (15-20%)</v>
      </c>
      <c r="P92" s="23"/>
    </row>
    <row r="93" spans="1:16" ht="15" hidden="1" customHeight="1" x14ac:dyDescent="0.25">
      <c r="A93" s="19" t="s">
        <v>127</v>
      </c>
      <c r="B93" s="19" t="s">
        <v>96</v>
      </c>
      <c r="C93" s="19" t="s">
        <v>97</v>
      </c>
      <c r="D93" s="20">
        <v>231.21</v>
      </c>
      <c r="E93" s="21">
        <v>0</v>
      </c>
      <c r="F93" s="20">
        <v>121.07</v>
      </c>
      <c r="G93" s="13">
        <v>29.29</v>
      </c>
      <c r="H93" s="13">
        <f t="shared" si="6"/>
        <v>231.21</v>
      </c>
      <c r="I93" s="12">
        <f t="shared" si="7"/>
        <v>0.12668137191297954</v>
      </c>
      <c r="J93" s="13">
        <f>IF(OR(B93="",C93=""),"",INDEX(Ref_Frete!$B$2:$G$54,MATCH(C93,Ref_Frete!$A$2:$A$54,0),IF(B93="Pequenos",2,IF(B93="Medios",4,6))))</f>
        <v>24.9</v>
      </c>
      <c r="K93" s="13">
        <f>IF(OR(B93="",C93=""),"",INDEX(Ref_Frete!$B$2:$G$54,MATCH(C93,Ref_Frete!$A$2:$A$54,0),IF(B93="Pequenos",1,IF(B93="Medios",3,5))))</f>
        <v>46.5</v>
      </c>
      <c r="L93" s="13">
        <f t="shared" si="8"/>
        <v>-21.6</v>
      </c>
      <c r="M93" s="13">
        <f t="shared" si="9"/>
        <v>36.129000000000019</v>
      </c>
      <c r="N93" s="12">
        <f t="shared" si="10"/>
        <v>0.15626054236408468</v>
      </c>
      <c r="O93" s="22" t="str">
        <f t="shared" si="11"/>
        <v>DENTRO DA META (15-20%)</v>
      </c>
      <c r="P93" s="23"/>
    </row>
    <row r="94" spans="1:16" ht="15" customHeight="1" x14ac:dyDescent="0.25">
      <c r="A94" s="19" t="s">
        <v>127</v>
      </c>
      <c r="B94" s="19" t="s">
        <v>96</v>
      </c>
      <c r="C94" s="19" t="s">
        <v>98</v>
      </c>
      <c r="D94" s="20">
        <v>231.21</v>
      </c>
      <c r="E94" s="21">
        <v>0</v>
      </c>
      <c r="F94" s="20">
        <v>121.07</v>
      </c>
      <c r="G94" s="13">
        <v>29.29</v>
      </c>
      <c r="H94" s="13">
        <f t="shared" si="6"/>
        <v>231.21</v>
      </c>
      <c r="I94" s="12">
        <f t="shared" si="7"/>
        <v>0.12668137191297954</v>
      </c>
      <c r="J94" s="13">
        <f>IF(OR(B94="",C94=""),"",INDEX(Ref_Frete!$B$2:$G$54,MATCH(C94,Ref_Frete!$A$2:$A$54,0),IF(B94="Pequenos",2,IF(B94="Medios",4,6))))</f>
        <v>16.899999999999999</v>
      </c>
      <c r="K94" s="13">
        <f>IF(OR(B94="",C94=""),"",INDEX(Ref_Frete!$B$2:$G$54,MATCH(C94,Ref_Frete!$A$2:$A$54,0),IF(B94="Pequenos",1,IF(B94="Medios",3,5))))</f>
        <v>30</v>
      </c>
      <c r="L94" s="13">
        <f t="shared" si="8"/>
        <v>-13.100000000000001</v>
      </c>
      <c r="M94" s="13">
        <f t="shared" si="9"/>
        <v>44.629000000000019</v>
      </c>
      <c r="N94" s="12">
        <f t="shared" si="10"/>
        <v>0.19302365814627404</v>
      </c>
      <c r="O94" s="22" t="str">
        <f t="shared" si="11"/>
        <v>DENTRO DA META (15-20%)</v>
      </c>
      <c r="P94" s="23"/>
    </row>
    <row r="95" spans="1:16" ht="15" hidden="1" customHeight="1" x14ac:dyDescent="0.25">
      <c r="A95" s="19" t="s">
        <v>32</v>
      </c>
      <c r="B95" s="19" t="s">
        <v>96</v>
      </c>
      <c r="C95" s="19" t="s">
        <v>97</v>
      </c>
      <c r="D95" s="20">
        <v>273.89999999999998</v>
      </c>
      <c r="E95" s="21">
        <v>0</v>
      </c>
      <c r="F95" s="20">
        <v>149.88</v>
      </c>
      <c r="G95" s="13">
        <v>34.450000000000003</v>
      </c>
      <c r="H95" s="13">
        <f t="shared" si="6"/>
        <v>273.89999999999998</v>
      </c>
      <c r="I95" s="12">
        <f t="shared" si="7"/>
        <v>0.12577583059510772</v>
      </c>
      <c r="J95" s="13">
        <f>IF(OR(B95="",C95=""),"",INDEX(Ref_Frete!$B$2:$G$54,MATCH(C95,Ref_Frete!$A$2:$A$54,0),IF(B95="Pequenos",2,IF(B95="Medios",4,6))))</f>
        <v>24.9</v>
      </c>
      <c r="K95" s="13">
        <f>IF(OR(B95="",C95=""),"",INDEX(Ref_Frete!$B$2:$G$54,MATCH(C95,Ref_Frete!$A$2:$A$54,0),IF(B95="Pequenos",1,IF(B95="Medios",3,5))))</f>
        <v>46.5</v>
      </c>
      <c r="L95" s="13">
        <f t="shared" si="8"/>
        <v>-21.6</v>
      </c>
      <c r="M95" s="13">
        <f t="shared" si="9"/>
        <v>40.579999999999991</v>
      </c>
      <c r="N95" s="12">
        <f t="shared" si="10"/>
        <v>0.14815626140927343</v>
      </c>
      <c r="O95" s="22" t="str">
        <f t="shared" si="11"/>
        <v>ABAIXO DA META (10-15%)</v>
      </c>
      <c r="P95" s="23"/>
    </row>
    <row r="96" spans="1:16" ht="15" hidden="1" customHeight="1" x14ac:dyDescent="0.25">
      <c r="A96" s="19" t="s">
        <v>32</v>
      </c>
      <c r="B96" s="19" t="s">
        <v>96</v>
      </c>
      <c r="C96" s="19" t="s">
        <v>98</v>
      </c>
      <c r="D96" s="20">
        <v>273.89999999999998</v>
      </c>
      <c r="E96" s="21">
        <v>0</v>
      </c>
      <c r="F96" s="20">
        <v>149.88</v>
      </c>
      <c r="G96" s="13">
        <v>34.450000000000003</v>
      </c>
      <c r="H96" s="13">
        <f t="shared" si="6"/>
        <v>273.89999999999998</v>
      </c>
      <c r="I96" s="12">
        <f t="shared" si="7"/>
        <v>0.12577583059510772</v>
      </c>
      <c r="J96" s="13">
        <f>IF(OR(B96="",C96=""),"",INDEX(Ref_Frete!$B$2:$G$54,MATCH(C96,Ref_Frete!$A$2:$A$54,0),IF(B96="Pequenos",2,IF(B96="Medios",4,6))))</f>
        <v>16.899999999999999</v>
      </c>
      <c r="K96" s="13">
        <f>IF(OR(B96="",C96=""),"",INDEX(Ref_Frete!$B$2:$G$54,MATCH(C96,Ref_Frete!$A$2:$A$54,0),IF(B96="Pequenos",1,IF(B96="Medios",3,5))))</f>
        <v>30</v>
      </c>
      <c r="L96" s="13">
        <f t="shared" si="8"/>
        <v>-13.100000000000001</v>
      </c>
      <c r="M96" s="13">
        <f t="shared" si="9"/>
        <v>49.079999999999991</v>
      </c>
      <c r="N96" s="12">
        <f t="shared" si="10"/>
        <v>0.17918948521358158</v>
      </c>
      <c r="O96" s="22" t="str">
        <f t="shared" si="11"/>
        <v>DENTRO DA META (15-20%)</v>
      </c>
      <c r="P96" s="23"/>
    </row>
    <row r="97" spans="1:16" ht="21.75" hidden="1" customHeight="1" x14ac:dyDescent="0.25">
      <c r="A97" s="19" t="s">
        <v>35</v>
      </c>
      <c r="B97" s="19" t="s">
        <v>96</v>
      </c>
      <c r="C97" s="19" t="s">
        <v>97</v>
      </c>
      <c r="D97" s="20">
        <v>258.97000000000003</v>
      </c>
      <c r="E97" s="21">
        <v>0</v>
      </c>
      <c r="F97" s="20">
        <v>139.81</v>
      </c>
      <c r="G97" s="13">
        <v>32.619999999999997</v>
      </c>
      <c r="H97" s="13">
        <f t="shared" si="6"/>
        <v>258.97000000000003</v>
      </c>
      <c r="I97" s="12">
        <f t="shared" si="7"/>
        <v>0.12596053596941728</v>
      </c>
      <c r="J97" s="13">
        <f>IF(OR(B97="",C97=""),"",INDEX(Ref_Frete!$B$2:$G$54,MATCH(C97,Ref_Frete!$A$2:$A$54,0),IF(B97="Pequenos",2,IF(B97="Medios",4,6))))</f>
        <v>24.9</v>
      </c>
      <c r="K97" s="13">
        <f>IF(OR(B97="",C97=""),"",INDEX(Ref_Frete!$B$2:$G$54,MATCH(C97,Ref_Frete!$A$2:$A$54,0),IF(B97="Pequenos",1,IF(B97="Medios",3,5))))</f>
        <v>46.5</v>
      </c>
      <c r="L97" s="13">
        <f t="shared" si="8"/>
        <v>-21.6</v>
      </c>
      <c r="M97" s="13">
        <f t="shared" si="9"/>
        <v>39.043000000000013</v>
      </c>
      <c r="N97" s="12">
        <f t="shared" si="10"/>
        <v>0.15076263659883388</v>
      </c>
      <c r="O97" s="22" t="str">
        <f t="shared" si="11"/>
        <v>DENTRO DA META (15-20%)</v>
      </c>
      <c r="P97" s="23" t="s">
        <v>128</v>
      </c>
    </row>
    <row r="98" spans="1:16" ht="21.75" hidden="1" customHeight="1" x14ac:dyDescent="0.25">
      <c r="A98" s="19" t="s">
        <v>35</v>
      </c>
      <c r="B98" s="19" t="s">
        <v>96</v>
      </c>
      <c r="C98" s="19" t="s">
        <v>98</v>
      </c>
      <c r="D98" s="20">
        <v>258.97000000000003</v>
      </c>
      <c r="E98" s="21">
        <v>0</v>
      </c>
      <c r="F98" s="20">
        <v>139.81</v>
      </c>
      <c r="G98" s="13">
        <v>32.619999999999997</v>
      </c>
      <c r="H98" s="13">
        <f t="shared" si="6"/>
        <v>258.97000000000003</v>
      </c>
      <c r="I98" s="12">
        <f t="shared" si="7"/>
        <v>0.12596053596941728</v>
      </c>
      <c r="J98" s="13">
        <f>IF(OR(B98="",C98=""),"",INDEX(Ref_Frete!$B$2:$G$54,MATCH(C98,Ref_Frete!$A$2:$A$54,0),IF(B98="Pequenos",2,IF(B98="Medios",4,6))))</f>
        <v>16.899999999999999</v>
      </c>
      <c r="K98" s="13">
        <f>IF(OR(B98="",C98=""),"",INDEX(Ref_Frete!$B$2:$G$54,MATCH(C98,Ref_Frete!$A$2:$A$54,0),IF(B98="Pequenos",1,IF(B98="Medios",3,5))))</f>
        <v>30</v>
      </c>
      <c r="L98" s="13">
        <f t="shared" si="8"/>
        <v>-13.100000000000001</v>
      </c>
      <c r="M98" s="13">
        <f t="shared" si="9"/>
        <v>47.543000000000013</v>
      </c>
      <c r="N98" s="12">
        <f t="shared" si="10"/>
        <v>0.18358497123218909</v>
      </c>
      <c r="O98" s="22" t="str">
        <f t="shared" si="11"/>
        <v>DENTRO DA META (15-20%)</v>
      </c>
      <c r="P98" s="23" t="s">
        <v>128</v>
      </c>
    </row>
    <row r="99" spans="1:16" ht="15" hidden="1" customHeight="1" x14ac:dyDescent="0.25">
      <c r="A99" s="19" t="s">
        <v>129</v>
      </c>
      <c r="B99" s="19" t="s">
        <v>130</v>
      </c>
      <c r="C99" s="19" t="s">
        <v>97</v>
      </c>
      <c r="D99" s="20">
        <v>674.62</v>
      </c>
      <c r="E99" s="21">
        <v>0</v>
      </c>
      <c r="F99" s="20">
        <v>365.7</v>
      </c>
      <c r="G99" s="13">
        <v>85.14</v>
      </c>
      <c r="H99" s="13">
        <f t="shared" si="6"/>
        <v>674.62</v>
      </c>
      <c r="I99" s="12">
        <f t="shared" si="7"/>
        <v>0.12620438172600873</v>
      </c>
      <c r="J99" s="13">
        <f>IF(OR(B99="",C99=""),"",INDEX(Ref_Frete!$B$2:$G$54,MATCH(C99,Ref_Frete!$A$2:$A$54,0),IF(B99="Pequenos",2,IF(B99="Medios",4,6))))</f>
        <v>59.9</v>
      </c>
      <c r="K99" s="13">
        <f>IF(OR(B99="",C99=""),"",INDEX(Ref_Frete!$B$2:$G$54,MATCH(C99,Ref_Frete!$A$2:$A$54,0),IF(B99="Pequenos",1,IF(B99="Medios",3,5))))</f>
        <v>89</v>
      </c>
      <c r="L99" s="13">
        <f t="shared" si="8"/>
        <v>-29.1</v>
      </c>
      <c r="M99" s="13">
        <f t="shared" si="9"/>
        <v>127.21800000000005</v>
      </c>
      <c r="N99" s="12">
        <f t="shared" si="10"/>
        <v>0.1885772731315408</v>
      </c>
      <c r="O99" s="22" t="str">
        <f t="shared" si="11"/>
        <v>DENTRO DA META (15-20%)</v>
      </c>
      <c r="P99" s="23"/>
    </row>
    <row r="100" spans="1:16" ht="15" customHeight="1" x14ac:dyDescent="0.25">
      <c r="A100" s="19" t="s">
        <v>129</v>
      </c>
      <c r="B100" s="19" t="s">
        <v>130</v>
      </c>
      <c r="C100" s="19" t="s">
        <v>98</v>
      </c>
      <c r="D100" s="20">
        <v>674.62</v>
      </c>
      <c r="E100" s="21">
        <v>0</v>
      </c>
      <c r="F100" s="20">
        <v>365.7</v>
      </c>
      <c r="G100" s="13">
        <v>85.14</v>
      </c>
      <c r="H100" s="13">
        <f t="shared" si="6"/>
        <v>674.62</v>
      </c>
      <c r="I100" s="12">
        <f t="shared" si="7"/>
        <v>0.12620438172600873</v>
      </c>
      <c r="J100" s="13">
        <f>IF(OR(B100="",C100=""),"",INDEX(Ref_Frete!$B$2:$G$54,MATCH(C100,Ref_Frete!$A$2:$A$54,0),IF(B100="Pequenos",2,IF(B100="Medios",4,6))))</f>
        <v>39.9</v>
      </c>
      <c r="K100" s="13">
        <f>IF(OR(B100="",C100=""),"",INDEX(Ref_Frete!$B$2:$G$54,MATCH(C100,Ref_Frete!$A$2:$A$54,0),IF(B100="Pequenos",1,IF(B100="Medios",3,5))))</f>
        <v>49</v>
      </c>
      <c r="L100" s="13">
        <f t="shared" si="8"/>
        <v>-9.1000000000000014</v>
      </c>
      <c r="M100" s="13">
        <f t="shared" si="9"/>
        <v>147.21800000000005</v>
      </c>
      <c r="N100" s="12">
        <f t="shared" si="10"/>
        <v>0.21822359254098611</v>
      </c>
      <c r="O100" s="22" t="str">
        <f t="shared" si="11"/>
        <v>ACIMA DA META (&gt;20%)</v>
      </c>
      <c r="P100" s="23"/>
    </row>
    <row r="101" spans="1:16" ht="15" hidden="1" customHeight="1" x14ac:dyDescent="0.25">
      <c r="A101" s="19" t="s">
        <v>131</v>
      </c>
      <c r="B101" s="19" t="s">
        <v>130</v>
      </c>
      <c r="C101" s="19" t="s">
        <v>97</v>
      </c>
      <c r="D101" s="20">
        <v>272.57</v>
      </c>
      <c r="E101" s="21">
        <v>0</v>
      </c>
      <c r="F101" s="20">
        <v>136.09</v>
      </c>
      <c r="G101" s="13">
        <v>36.9</v>
      </c>
      <c r="H101" s="13">
        <f t="shared" si="6"/>
        <v>272.57</v>
      </c>
      <c r="I101" s="12">
        <f t="shared" si="7"/>
        <v>0.13537806801922442</v>
      </c>
      <c r="J101" s="13">
        <f>IF(OR(B101="",C101=""),"",INDEX(Ref_Frete!$B$2:$G$54,MATCH(C101,Ref_Frete!$A$2:$A$54,0),IF(B101="Pequenos",2,IF(B101="Medios",4,6))))</f>
        <v>59.9</v>
      </c>
      <c r="K101" s="13">
        <f>IF(OR(B101="",C101=""),"",INDEX(Ref_Frete!$B$2:$G$54,MATCH(C101,Ref_Frete!$A$2:$A$54,0),IF(B101="Pequenos",1,IF(B101="Medios",3,5))))</f>
        <v>89</v>
      </c>
      <c r="L101" s="13">
        <f t="shared" si="8"/>
        <v>-29.1</v>
      </c>
      <c r="M101" s="13">
        <f t="shared" si="9"/>
        <v>43.222999999999978</v>
      </c>
      <c r="N101" s="12">
        <f t="shared" si="10"/>
        <v>0.15857577869904971</v>
      </c>
      <c r="O101" s="22" t="str">
        <f t="shared" si="11"/>
        <v>DENTRO DA META (15-20%)</v>
      </c>
      <c r="P101" s="23"/>
    </row>
    <row r="102" spans="1:16" ht="15" customHeight="1" x14ac:dyDescent="0.25">
      <c r="A102" s="19" t="s">
        <v>131</v>
      </c>
      <c r="B102" s="19" t="s">
        <v>130</v>
      </c>
      <c r="C102" s="19" t="s">
        <v>98</v>
      </c>
      <c r="D102" s="20">
        <v>272.57</v>
      </c>
      <c r="E102" s="21">
        <v>0</v>
      </c>
      <c r="F102" s="20">
        <v>136.09</v>
      </c>
      <c r="G102" s="13">
        <v>36.9</v>
      </c>
      <c r="H102" s="13">
        <f t="shared" si="6"/>
        <v>272.57</v>
      </c>
      <c r="I102" s="12">
        <f t="shared" si="7"/>
        <v>0.13537806801922442</v>
      </c>
      <c r="J102" s="13">
        <f>IF(OR(B102="",C102=""),"",INDEX(Ref_Frete!$B$2:$G$54,MATCH(C102,Ref_Frete!$A$2:$A$54,0),IF(B102="Pequenos",2,IF(B102="Medios",4,6))))</f>
        <v>39.9</v>
      </c>
      <c r="K102" s="13">
        <f>IF(OR(B102="",C102=""),"",INDEX(Ref_Frete!$B$2:$G$54,MATCH(C102,Ref_Frete!$A$2:$A$54,0),IF(B102="Pequenos",1,IF(B102="Medios",3,5))))</f>
        <v>49</v>
      </c>
      <c r="L102" s="13">
        <f t="shared" si="8"/>
        <v>-9.1000000000000014</v>
      </c>
      <c r="M102" s="13">
        <f t="shared" si="9"/>
        <v>63.222999999999978</v>
      </c>
      <c r="N102" s="12">
        <f t="shared" si="10"/>
        <v>0.23195142532193558</v>
      </c>
      <c r="O102" s="22" t="str">
        <f t="shared" si="11"/>
        <v>ACIMA DA META (&gt;20%)</v>
      </c>
      <c r="P102" s="23"/>
    </row>
    <row r="103" spans="1:16" s="31" customFormat="1" ht="15" hidden="1" customHeight="1" x14ac:dyDescent="0.25">
      <c r="A103" s="24" t="s">
        <v>132</v>
      </c>
      <c r="B103" s="24" t="s">
        <v>130</v>
      </c>
      <c r="C103" s="24" t="s">
        <v>97</v>
      </c>
      <c r="D103" s="25">
        <v>290.17</v>
      </c>
      <c r="E103" s="26">
        <v>0</v>
      </c>
      <c r="F103" s="25">
        <v>140.97</v>
      </c>
      <c r="G103" s="27">
        <v>39.01</v>
      </c>
      <c r="H103" s="27">
        <f t="shared" si="6"/>
        <v>290.17</v>
      </c>
      <c r="I103" s="28">
        <f t="shared" si="7"/>
        <v>0.13443843264293343</v>
      </c>
      <c r="J103" s="27">
        <f>IF(OR(B103="",C103=""),"",INDEX(Ref_Frete!$B$2:$G$54,MATCH(C103,Ref_Frete!$A$2:$A$54,0),IF(B103="Pequenos",2,IF(B103="Medios",4,6))))</f>
        <v>59.9</v>
      </c>
      <c r="K103" s="27">
        <f>IF(OR(B103="",C103=""),"",INDEX(Ref_Frete!$B$2:$G$54,MATCH(C103,Ref_Frete!$A$2:$A$54,0),IF(B103="Pequenos",1,IF(B103="Medios",3,5))))</f>
        <v>89</v>
      </c>
      <c r="L103" s="27">
        <f t="shared" si="8"/>
        <v>-29.1</v>
      </c>
      <c r="M103" s="27">
        <f t="shared" si="9"/>
        <v>52.073000000000029</v>
      </c>
      <c r="N103" s="28">
        <f t="shared" si="10"/>
        <v>0.17945687011062489</v>
      </c>
      <c r="O103" s="29" t="str">
        <f t="shared" si="11"/>
        <v>DENTRO DA META (15-20%)</v>
      </c>
      <c r="P103" s="30"/>
    </row>
    <row r="104" spans="1:16" ht="15" customHeight="1" x14ac:dyDescent="0.25">
      <c r="A104" s="19" t="s">
        <v>132</v>
      </c>
      <c r="B104" s="19" t="s">
        <v>130</v>
      </c>
      <c r="C104" s="19" t="s">
        <v>98</v>
      </c>
      <c r="D104" s="20">
        <v>290.17</v>
      </c>
      <c r="E104" s="21">
        <v>0</v>
      </c>
      <c r="F104" s="20">
        <v>140.97</v>
      </c>
      <c r="G104" s="13">
        <v>39.01</v>
      </c>
      <c r="H104" s="13">
        <f t="shared" si="6"/>
        <v>290.17</v>
      </c>
      <c r="I104" s="12">
        <f t="shared" si="7"/>
        <v>0.13443843264293343</v>
      </c>
      <c r="J104" s="13">
        <f>IF(OR(B104="",C104=""),"",INDEX(Ref_Frete!$B$2:$G$54,MATCH(C104,Ref_Frete!$A$2:$A$54,0),IF(B104="Pequenos",2,IF(B104="Medios",4,6))))</f>
        <v>39.9</v>
      </c>
      <c r="K104" s="13">
        <f>IF(OR(B104="",C104=""),"",INDEX(Ref_Frete!$B$2:$G$54,MATCH(C104,Ref_Frete!$A$2:$A$54,0),IF(B104="Pequenos",1,IF(B104="Medios",3,5))))</f>
        <v>49</v>
      </c>
      <c r="L104" s="13">
        <f t="shared" si="8"/>
        <v>-9.1000000000000014</v>
      </c>
      <c r="M104" s="13">
        <f t="shared" si="9"/>
        <v>72.073000000000036</v>
      </c>
      <c r="N104" s="12">
        <f t="shared" si="10"/>
        <v>0.24838198297549724</v>
      </c>
      <c r="O104" s="22" t="str">
        <f t="shared" si="11"/>
        <v>ACIMA DA META (&gt;20%)</v>
      </c>
      <c r="P104" s="23"/>
    </row>
    <row r="105" spans="1:16" ht="15" hidden="1" customHeight="1" x14ac:dyDescent="0.25">
      <c r="A105" s="19" t="s">
        <v>133</v>
      </c>
      <c r="B105" s="19" t="s">
        <v>130</v>
      </c>
      <c r="C105" s="19" t="s">
        <v>97</v>
      </c>
      <c r="D105" s="20">
        <v>299.31</v>
      </c>
      <c r="E105" s="21">
        <v>0</v>
      </c>
      <c r="F105" s="20">
        <v>152.83000000000001</v>
      </c>
      <c r="G105" s="13">
        <v>40.11</v>
      </c>
      <c r="H105" s="13">
        <f t="shared" si="6"/>
        <v>299.31</v>
      </c>
      <c r="I105" s="12">
        <f t="shared" si="7"/>
        <v>0.134008218903478</v>
      </c>
      <c r="J105" s="13">
        <f>IF(OR(B105="",C105=""),"",INDEX(Ref_Frete!$B$2:$G$54,MATCH(C105,Ref_Frete!$A$2:$A$54,0),IF(B105="Pequenos",2,IF(B105="Medios",4,6))))</f>
        <v>59.9</v>
      </c>
      <c r="K105" s="13">
        <f>IF(OR(B105="",C105=""),"",INDEX(Ref_Frete!$B$2:$G$54,MATCH(C105,Ref_Frete!$A$2:$A$54,0),IF(B105="Pequenos",1,IF(B105="Medios",3,5))))</f>
        <v>89</v>
      </c>
      <c r="L105" s="13">
        <f t="shared" si="8"/>
        <v>-29.1</v>
      </c>
      <c r="M105" s="13">
        <f t="shared" si="9"/>
        <v>47.338999999999977</v>
      </c>
      <c r="N105" s="12">
        <f t="shared" si="10"/>
        <v>0.15816043566870461</v>
      </c>
      <c r="O105" s="22" t="str">
        <f t="shared" si="11"/>
        <v>DENTRO DA META (15-20%)</v>
      </c>
      <c r="P105" s="23"/>
    </row>
    <row r="106" spans="1:16" ht="15" customHeight="1" x14ac:dyDescent="0.25">
      <c r="A106" s="19" t="s">
        <v>133</v>
      </c>
      <c r="B106" s="19" t="s">
        <v>130</v>
      </c>
      <c r="C106" s="19" t="s">
        <v>98</v>
      </c>
      <c r="D106" s="20">
        <v>299.31</v>
      </c>
      <c r="E106" s="21">
        <v>0</v>
      </c>
      <c r="F106" s="20">
        <v>152.83000000000001</v>
      </c>
      <c r="G106" s="13">
        <v>40.11</v>
      </c>
      <c r="H106" s="13">
        <f t="shared" si="6"/>
        <v>299.31</v>
      </c>
      <c r="I106" s="12">
        <f t="shared" si="7"/>
        <v>0.134008218903478</v>
      </c>
      <c r="J106" s="13">
        <f>IF(OR(B106="",C106=""),"",INDEX(Ref_Frete!$B$2:$G$54,MATCH(C106,Ref_Frete!$A$2:$A$54,0),IF(B106="Pequenos",2,IF(B106="Medios",4,6))))</f>
        <v>39.9</v>
      </c>
      <c r="K106" s="13">
        <f>IF(OR(B106="",C106=""),"",INDEX(Ref_Frete!$B$2:$G$54,MATCH(C106,Ref_Frete!$A$2:$A$54,0),IF(B106="Pequenos",1,IF(B106="Medios",3,5))))</f>
        <v>49</v>
      </c>
      <c r="L106" s="13">
        <f t="shared" si="8"/>
        <v>-9.1000000000000014</v>
      </c>
      <c r="M106" s="13">
        <f t="shared" si="9"/>
        <v>67.33899999999997</v>
      </c>
      <c r="N106" s="12">
        <f t="shared" si="10"/>
        <v>0.22498078914837449</v>
      </c>
      <c r="O106" s="22" t="str">
        <f t="shared" si="11"/>
        <v>ACIMA DA META (&gt;20%)</v>
      </c>
      <c r="P106" s="23"/>
    </row>
    <row r="107" spans="1:16" ht="15" hidden="1" customHeight="1" x14ac:dyDescent="0.25">
      <c r="A107" s="19" t="s">
        <v>134</v>
      </c>
      <c r="B107" s="19" t="s">
        <v>130</v>
      </c>
      <c r="C107" s="19" t="s">
        <v>97</v>
      </c>
      <c r="D107" s="20">
        <v>335.68</v>
      </c>
      <c r="E107" s="21">
        <v>0</v>
      </c>
      <c r="F107" s="20">
        <v>172.67</v>
      </c>
      <c r="G107" s="13">
        <v>44.47</v>
      </c>
      <c r="H107" s="13">
        <f t="shared" si="6"/>
        <v>335.68</v>
      </c>
      <c r="I107" s="12">
        <f t="shared" si="7"/>
        <v>0.13247735938989513</v>
      </c>
      <c r="J107" s="13">
        <f>IF(OR(B107="",C107=""),"",INDEX(Ref_Frete!$B$2:$G$54,MATCH(C107,Ref_Frete!$A$2:$A$54,0),IF(B107="Pequenos",2,IF(B107="Medios",4,6))))</f>
        <v>59.9</v>
      </c>
      <c r="K107" s="13">
        <f>IF(OR(B107="",C107=""),"",INDEX(Ref_Frete!$B$2:$G$54,MATCH(C107,Ref_Frete!$A$2:$A$54,0),IF(B107="Pequenos",1,IF(B107="Medios",3,5))))</f>
        <v>89</v>
      </c>
      <c r="L107" s="13">
        <f t="shared" si="8"/>
        <v>-29.1</v>
      </c>
      <c r="M107" s="13">
        <f t="shared" si="9"/>
        <v>55.872000000000035</v>
      </c>
      <c r="N107" s="12">
        <f t="shared" si="10"/>
        <v>0.16644423260247865</v>
      </c>
      <c r="O107" s="22" t="str">
        <f t="shared" si="11"/>
        <v>DENTRO DA META (15-20%)</v>
      </c>
      <c r="P107" s="23"/>
    </row>
    <row r="108" spans="1:16" ht="15" customHeight="1" x14ac:dyDescent="0.25">
      <c r="A108" s="19" t="s">
        <v>134</v>
      </c>
      <c r="B108" s="19" t="s">
        <v>130</v>
      </c>
      <c r="C108" s="19" t="s">
        <v>98</v>
      </c>
      <c r="D108" s="20">
        <v>335.68</v>
      </c>
      <c r="E108" s="21">
        <v>0</v>
      </c>
      <c r="F108" s="20">
        <v>172.67</v>
      </c>
      <c r="G108" s="13">
        <v>44.47</v>
      </c>
      <c r="H108" s="13">
        <f t="shared" si="6"/>
        <v>335.68</v>
      </c>
      <c r="I108" s="12">
        <f t="shared" si="7"/>
        <v>0.13247735938989513</v>
      </c>
      <c r="J108" s="13">
        <f>IF(OR(B108="",C108=""),"",INDEX(Ref_Frete!$B$2:$G$54,MATCH(C108,Ref_Frete!$A$2:$A$54,0),IF(B108="Pequenos",2,IF(B108="Medios",4,6))))</f>
        <v>39.9</v>
      </c>
      <c r="K108" s="13">
        <f>IF(OR(B108="",C108=""),"",INDEX(Ref_Frete!$B$2:$G$54,MATCH(C108,Ref_Frete!$A$2:$A$54,0),IF(B108="Pequenos",1,IF(B108="Medios",3,5))))</f>
        <v>49</v>
      </c>
      <c r="L108" s="13">
        <f t="shared" si="8"/>
        <v>-9.1000000000000014</v>
      </c>
      <c r="M108" s="13">
        <f t="shared" si="9"/>
        <v>75.872000000000043</v>
      </c>
      <c r="N108" s="12">
        <f t="shared" si="10"/>
        <v>0.22602478551000965</v>
      </c>
      <c r="O108" s="22" t="str">
        <f t="shared" si="11"/>
        <v>ACIMA DA META (&gt;20%)</v>
      </c>
      <c r="P108" s="23"/>
    </row>
    <row r="109" spans="1:16" ht="15" hidden="1" customHeight="1" x14ac:dyDescent="0.25">
      <c r="A109" s="19" t="s">
        <v>135</v>
      </c>
      <c r="B109" s="19" t="s">
        <v>130</v>
      </c>
      <c r="C109" s="19" t="s">
        <v>97</v>
      </c>
      <c r="D109" s="20">
        <v>318.56</v>
      </c>
      <c r="E109" s="21">
        <v>0</v>
      </c>
      <c r="F109" s="20">
        <v>159</v>
      </c>
      <c r="G109" s="13">
        <v>42.42</v>
      </c>
      <c r="H109" s="13">
        <f t="shared" si="6"/>
        <v>318.56</v>
      </c>
      <c r="I109" s="12">
        <f t="shared" si="7"/>
        <v>0.13316172777498744</v>
      </c>
      <c r="J109" s="13">
        <f>IF(OR(B109="",C109=""),"",INDEX(Ref_Frete!$B$2:$G$54,MATCH(C109,Ref_Frete!$A$2:$A$54,0),IF(B109="Pequenos",2,IF(B109="Medios",4,6))))</f>
        <v>59.9</v>
      </c>
      <c r="K109" s="13">
        <f>IF(OR(B109="",C109=""),"",INDEX(Ref_Frete!$B$2:$G$54,MATCH(C109,Ref_Frete!$A$2:$A$54,0),IF(B109="Pequenos",1,IF(B109="Medios",3,5))))</f>
        <v>89</v>
      </c>
      <c r="L109" s="13">
        <f t="shared" si="8"/>
        <v>-29.1</v>
      </c>
      <c r="M109" s="13">
        <f t="shared" si="9"/>
        <v>56.18399999999999</v>
      </c>
      <c r="N109" s="12">
        <f t="shared" si="10"/>
        <v>0.17636865896534401</v>
      </c>
      <c r="O109" s="22" t="str">
        <f t="shared" si="11"/>
        <v>DENTRO DA META (15-20%)</v>
      </c>
      <c r="P109" s="23"/>
    </row>
    <row r="110" spans="1:16" ht="15" customHeight="1" x14ac:dyDescent="0.25">
      <c r="A110" s="19" t="s">
        <v>135</v>
      </c>
      <c r="B110" s="19" t="s">
        <v>130</v>
      </c>
      <c r="C110" s="19" t="s">
        <v>98</v>
      </c>
      <c r="D110" s="20">
        <v>318.56</v>
      </c>
      <c r="E110" s="21">
        <v>0</v>
      </c>
      <c r="F110" s="20">
        <v>159</v>
      </c>
      <c r="G110" s="13">
        <v>42.42</v>
      </c>
      <c r="H110" s="13">
        <f t="shared" si="6"/>
        <v>318.56</v>
      </c>
      <c r="I110" s="12">
        <f t="shared" si="7"/>
        <v>0.13316172777498744</v>
      </c>
      <c r="J110" s="13">
        <f>IF(OR(B110="",C110=""),"",INDEX(Ref_Frete!$B$2:$G$54,MATCH(C110,Ref_Frete!$A$2:$A$54,0),IF(B110="Pequenos",2,IF(B110="Medios",4,6))))</f>
        <v>39.9</v>
      </c>
      <c r="K110" s="13">
        <f>IF(OR(B110="",C110=""),"",INDEX(Ref_Frete!$B$2:$G$54,MATCH(C110,Ref_Frete!$A$2:$A$54,0),IF(B110="Pequenos",1,IF(B110="Medios",3,5))))</f>
        <v>49</v>
      </c>
      <c r="L110" s="13">
        <f t="shared" si="8"/>
        <v>-9.1000000000000014</v>
      </c>
      <c r="M110" s="13">
        <f t="shared" si="9"/>
        <v>76.183999999999997</v>
      </c>
      <c r="N110" s="12">
        <f t="shared" si="10"/>
        <v>0.23915118031140128</v>
      </c>
      <c r="O110" s="22" t="str">
        <f t="shared" si="11"/>
        <v>ACIMA DA META (&gt;20%)</v>
      </c>
      <c r="P110" s="23"/>
    </row>
    <row r="111" spans="1:16" ht="15" hidden="1" customHeight="1" x14ac:dyDescent="0.25">
      <c r="A111" s="19" t="s">
        <v>136</v>
      </c>
      <c r="B111" s="19" t="s">
        <v>130</v>
      </c>
      <c r="C111" s="19" t="s">
        <v>97</v>
      </c>
      <c r="D111" s="20">
        <v>385.56</v>
      </c>
      <c r="E111" s="21">
        <v>0</v>
      </c>
      <c r="F111" s="20">
        <v>203.27</v>
      </c>
      <c r="G111" s="13">
        <v>50.46</v>
      </c>
      <c r="H111" s="13">
        <f t="shared" si="6"/>
        <v>385.56</v>
      </c>
      <c r="I111" s="12">
        <f t="shared" si="7"/>
        <v>0.13087457205104264</v>
      </c>
      <c r="J111" s="13">
        <f>IF(OR(B111="",C111=""),"",INDEX(Ref_Frete!$B$2:$G$54,MATCH(C111,Ref_Frete!$A$2:$A$54,0),IF(B111="Pequenos",2,IF(B111="Medios",4,6))))</f>
        <v>59.9</v>
      </c>
      <c r="K111" s="13">
        <f>IF(OR(B111="",C111=""),"",INDEX(Ref_Frete!$B$2:$G$54,MATCH(C111,Ref_Frete!$A$2:$A$54,0),IF(B111="Pequenos",1,IF(B111="Medios",3,5))))</f>
        <v>89</v>
      </c>
      <c r="L111" s="13">
        <f t="shared" si="8"/>
        <v>-29.1</v>
      </c>
      <c r="M111" s="13">
        <f t="shared" si="9"/>
        <v>64.174000000000007</v>
      </c>
      <c r="N111" s="12">
        <f t="shared" si="10"/>
        <v>0.16644361448283018</v>
      </c>
      <c r="O111" s="22" t="str">
        <f t="shared" si="11"/>
        <v>DENTRO DA META (15-20%)</v>
      </c>
      <c r="P111" s="23"/>
    </row>
    <row r="112" spans="1:16" ht="15" customHeight="1" x14ac:dyDescent="0.25">
      <c r="A112" s="19" t="s">
        <v>136</v>
      </c>
      <c r="B112" s="19" t="s">
        <v>130</v>
      </c>
      <c r="C112" s="19" t="s">
        <v>98</v>
      </c>
      <c r="D112" s="20">
        <v>385.56</v>
      </c>
      <c r="E112" s="21">
        <v>0</v>
      </c>
      <c r="F112" s="20">
        <v>203.27</v>
      </c>
      <c r="G112" s="13">
        <v>50.46</v>
      </c>
      <c r="H112" s="13">
        <f t="shared" si="6"/>
        <v>385.56</v>
      </c>
      <c r="I112" s="12">
        <f t="shared" si="7"/>
        <v>0.13087457205104264</v>
      </c>
      <c r="J112" s="13">
        <f>IF(OR(B112="",C112=""),"",INDEX(Ref_Frete!$B$2:$G$54,MATCH(C112,Ref_Frete!$A$2:$A$54,0),IF(B112="Pequenos",2,IF(B112="Medios",4,6))))</f>
        <v>39.9</v>
      </c>
      <c r="K112" s="13">
        <f>IF(OR(B112="",C112=""),"",INDEX(Ref_Frete!$B$2:$G$54,MATCH(C112,Ref_Frete!$A$2:$A$54,0),IF(B112="Pequenos",1,IF(B112="Medios",3,5))))</f>
        <v>49</v>
      </c>
      <c r="L112" s="13">
        <f t="shared" si="8"/>
        <v>-9.1000000000000014</v>
      </c>
      <c r="M112" s="13">
        <f t="shared" si="9"/>
        <v>84.174000000000007</v>
      </c>
      <c r="N112" s="12">
        <f t="shared" si="10"/>
        <v>0.21831621537503892</v>
      </c>
      <c r="O112" s="22" t="str">
        <f t="shared" si="11"/>
        <v>ACIMA DA META (&gt;20%)</v>
      </c>
      <c r="P112" s="23"/>
    </row>
    <row r="113" spans="1:16" ht="15" hidden="1" customHeight="1" x14ac:dyDescent="0.25">
      <c r="A113" s="19" t="s">
        <v>137</v>
      </c>
      <c r="B113" s="19" t="s">
        <v>130</v>
      </c>
      <c r="C113" s="19" t="s">
        <v>97</v>
      </c>
      <c r="D113" s="20">
        <v>408.32</v>
      </c>
      <c r="E113" s="21">
        <v>0</v>
      </c>
      <c r="F113" s="20">
        <v>208.28</v>
      </c>
      <c r="G113" s="13">
        <v>53.19</v>
      </c>
      <c r="H113" s="13">
        <f t="shared" si="6"/>
        <v>408.32</v>
      </c>
      <c r="I113" s="12">
        <f t="shared" si="7"/>
        <v>0.13026547805642633</v>
      </c>
      <c r="J113" s="13">
        <f>IF(OR(B113="",C113=""),"",INDEX(Ref_Frete!$B$2:$G$54,MATCH(C113,Ref_Frete!$A$2:$A$54,0),IF(B113="Pequenos",2,IF(B113="Medios",4,6))))</f>
        <v>59.9</v>
      </c>
      <c r="K113" s="13">
        <f>IF(OR(B113="",C113=""),"",INDEX(Ref_Frete!$B$2:$G$54,MATCH(C113,Ref_Frete!$A$2:$A$54,0),IF(B113="Pequenos",1,IF(B113="Medios",3,5))))</f>
        <v>89</v>
      </c>
      <c r="L113" s="13">
        <f t="shared" si="8"/>
        <v>-29.1</v>
      </c>
      <c r="M113" s="13">
        <f t="shared" si="9"/>
        <v>76.918000000000006</v>
      </c>
      <c r="N113" s="12">
        <f t="shared" si="10"/>
        <v>0.18837676332288403</v>
      </c>
      <c r="O113" s="22" t="str">
        <f t="shared" si="11"/>
        <v>DENTRO DA META (15-20%)</v>
      </c>
      <c r="P113" s="23"/>
    </row>
    <row r="114" spans="1:16" ht="15" customHeight="1" x14ac:dyDescent="0.25">
      <c r="A114" s="19" t="s">
        <v>137</v>
      </c>
      <c r="B114" s="19" t="s">
        <v>130</v>
      </c>
      <c r="C114" s="19" t="s">
        <v>98</v>
      </c>
      <c r="D114" s="20">
        <v>408.32</v>
      </c>
      <c r="E114" s="21">
        <v>0</v>
      </c>
      <c r="F114" s="20">
        <v>208.28</v>
      </c>
      <c r="G114" s="13">
        <v>53.19</v>
      </c>
      <c r="H114" s="13">
        <f t="shared" si="6"/>
        <v>408.32</v>
      </c>
      <c r="I114" s="12">
        <f t="shared" si="7"/>
        <v>0.13026547805642633</v>
      </c>
      <c r="J114" s="13">
        <f>IF(OR(B114="",C114=""),"",INDEX(Ref_Frete!$B$2:$G$54,MATCH(C114,Ref_Frete!$A$2:$A$54,0),IF(B114="Pequenos",2,IF(B114="Medios",4,6))))</f>
        <v>39.9</v>
      </c>
      <c r="K114" s="13">
        <f>IF(OR(B114="",C114=""),"",INDEX(Ref_Frete!$B$2:$G$54,MATCH(C114,Ref_Frete!$A$2:$A$54,0),IF(B114="Pequenos",1,IF(B114="Medios",3,5))))</f>
        <v>49</v>
      </c>
      <c r="L114" s="13">
        <f t="shared" si="8"/>
        <v>-9.1000000000000014</v>
      </c>
      <c r="M114" s="13">
        <f t="shared" si="9"/>
        <v>96.918000000000006</v>
      </c>
      <c r="N114" s="12">
        <f t="shared" si="10"/>
        <v>0.23735795454545455</v>
      </c>
      <c r="O114" s="22" t="str">
        <f t="shared" si="11"/>
        <v>ACIMA DA META (&gt;20%)</v>
      </c>
      <c r="P114" s="23"/>
    </row>
    <row r="115" spans="1:16" ht="15" hidden="1" customHeight="1" x14ac:dyDescent="0.25">
      <c r="A115" s="19" t="s">
        <v>138</v>
      </c>
      <c r="B115" s="19" t="s">
        <v>130</v>
      </c>
      <c r="C115" s="19" t="s">
        <v>97</v>
      </c>
      <c r="D115" s="20">
        <v>398.35</v>
      </c>
      <c r="E115" s="21">
        <v>0</v>
      </c>
      <c r="F115" s="20">
        <v>211.1</v>
      </c>
      <c r="G115" s="13">
        <v>51.99</v>
      </c>
      <c r="H115" s="13">
        <f t="shared" si="6"/>
        <v>398.35</v>
      </c>
      <c r="I115" s="12">
        <f t="shared" si="7"/>
        <v>0.13051336764152127</v>
      </c>
      <c r="J115" s="13">
        <f>IF(OR(B115="",C115=""),"",INDEX(Ref_Frete!$B$2:$G$54,MATCH(C115,Ref_Frete!$A$2:$A$54,0),IF(B115="Pequenos",2,IF(B115="Medios",4,6))))</f>
        <v>59.9</v>
      </c>
      <c r="K115" s="13">
        <f>IF(OR(B115="",C115=""),"",INDEX(Ref_Frete!$B$2:$G$54,MATCH(C115,Ref_Frete!$A$2:$A$54,0),IF(B115="Pequenos",1,IF(B115="Medios",3,5))))</f>
        <v>89</v>
      </c>
      <c r="L115" s="13">
        <f t="shared" si="8"/>
        <v>-29.1</v>
      </c>
      <c r="M115" s="13">
        <f t="shared" si="9"/>
        <v>66.325000000000017</v>
      </c>
      <c r="N115" s="12">
        <f t="shared" si="10"/>
        <v>0.16649930965231582</v>
      </c>
      <c r="O115" s="22" t="str">
        <f t="shared" si="11"/>
        <v>DENTRO DA META (15-20%)</v>
      </c>
      <c r="P115" s="23"/>
    </row>
    <row r="116" spans="1:16" ht="15" customHeight="1" x14ac:dyDescent="0.25">
      <c r="A116" s="19" t="s">
        <v>138</v>
      </c>
      <c r="B116" s="19" t="s">
        <v>130</v>
      </c>
      <c r="C116" s="19" t="s">
        <v>98</v>
      </c>
      <c r="D116" s="20">
        <v>398.35</v>
      </c>
      <c r="E116" s="21">
        <v>0</v>
      </c>
      <c r="F116" s="20">
        <v>211.1</v>
      </c>
      <c r="G116" s="13">
        <v>51.99</v>
      </c>
      <c r="H116" s="13">
        <f t="shared" si="6"/>
        <v>398.35</v>
      </c>
      <c r="I116" s="12">
        <f t="shared" si="7"/>
        <v>0.13051336764152127</v>
      </c>
      <c r="J116" s="13">
        <f>IF(OR(B116="",C116=""),"",INDEX(Ref_Frete!$B$2:$G$54,MATCH(C116,Ref_Frete!$A$2:$A$54,0),IF(B116="Pequenos",2,IF(B116="Medios",4,6))))</f>
        <v>39.9</v>
      </c>
      <c r="K116" s="13">
        <f>IF(OR(B116="",C116=""),"",INDEX(Ref_Frete!$B$2:$G$54,MATCH(C116,Ref_Frete!$A$2:$A$54,0),IF(B116="Pequenos",1,IF(B116="Medios",3,5))))</f>
        <v>49</v>
      </c>
      <c r="L116" s="13">
        <f t="shared" si="8"/>
        <v>-9.1000000000000014</v>
      </c>
      <c r="M116" s="13">
        <f t="shared" si="9"/>
        <v>86.325000000000017</v>
      </c>
      <c r="N116" s="12">
        <f t="shared" si="10"/>
        <v>0.21670641395757503</v>
      </c>
      <c r="O116" s="22" t="str">
        <f t="shared" si="11"/>
        <v>ACIMA DA META (&gt;20%)</v>
      </c>
      <c r="P116" s="23"/>
    </row>
    <row r="117" spans="1:16" ht="15" hidden="1" customHeight="1" x14ac:dyDescent="0.25">
      <c r="A117" s="19" t="s">
        <v>51</v>
      </c>
      <c r="B117" s="19" t="s">
        <v>130</v>
      </c>
      <c r="C117" s="19" t="s">
        <v>97</v>
      </c>
      <c r="D117" s="20">
        <v>356.3</v>
      </c>
      <c r="E117" s="21">
        <v>0</v>
      </c>
      <c r="F117" s="20">
        <v>164.3</v>
      </c>
      <c r="G117" s="13">
        <v>46.94</v>
      </c>
      <c r="H117" s="13">
        <f t="shared" si="6"/>
        <v>356.3</v>
      </c>
      <c r="I117" s="12">
        <f t="shared" si="7"/>
        <v>0.13174291327532978</v>
      </c>
      <c r="J117" s="13">
        <f>IF(OR(B117="",C117=""),"",INDEX(Ref_Frete!$B$2:$G$54,MATCH(C117,Ref_Frete!$A$2:$A$54,0),IF(B117="Pequenos",2,IF(B117="Medios",4,6))))</f>
        <v>59.9</v>
      </c>
      <c r="K117" s="13">
        <f>IF(OR(B117="",C117=""),"",INDEX(Ref_Frete!$B$2:$G$54,MATCH(C117,Ref_Frete!$A$2:$A$54,0),IF(B117="Pequenos",1,IF(B117="Medios",3,5))))</f>
        <v>89</v>
      </c>
      <c r="L117" s="13">
        <f t="shared" si="8"/>
        <v>-29.1</v>
      </c>
      <c r="M117" s="13">
        <f t="shared" si="9"/>
        <v>80.330000000000013</v>
      </c>
      <c r="N117" s="12">
        <f t="shared" si="10"/>
        <v>0.22545607634016282</v>
      </c>
      <c r="O117" s="22" t="str">
        <f t="shared" si="11"/>
        <v>ACIMA DA META (&gt;20%)</v>
      </c>
      <c r="P117" s="23"/>
    </row>
    <row r="118" spans="1:16" ht="15" customHeight="1" x14ac:dyDescent="0.25">
      <c r="A118" s="19" t="s">
        <v>51</v>
      </c>
      <c r="B118" s="19" t="s">
        <v>130</v>
      </c>
      <c r="C118" s="19" t="s">
        <v>98</v>
      </c>
      <c r="D118" s="20">
        <v>356.3</v>
      </c>
      <c r="E118" s="21">
        <v>0</v>
      </c>
      <c r="F118" s="20">
        <v>164.3</v>
      </c>
      <c r="G118" s="13">
        <v>46.94</v>
      </c>
      <c r="H118" s="13">
        <f t="shared" si="6"/>
        <v>356.3</v>
      </c>
      <c r="I118" s="12">
        <f t="shared" si="7"/>
        <v>0.13174291327532978</v>
      </c>
      <c r="J118" s="13">
        <f>IF(OR(B118="",C118=""),"",INDEX(Ref_Frete!$B$2:$G$54,MATCH(C118,Ref_Frete!$A$2:$A$54,0),IF(B118="Pequenos",2,IF(B118="Medios",4,6))))</f>
        <v>39.9</v>
      </c>
      <c r="K118" s="13">
        <f>IF(OR(B118="",C118=""),"",INDEX(Ref_Frete!$B$2:$G$54,MATCH(C118,Ref_Frete!$A$2:$A$54,0),IF(B118="Pequenos",1,IF(B118="Medios",3,5))))</f>
        <v>49</v>
      </c>
      <c r="L118" s="13">
        <f t="shared" si="8"/>
        <v>-9.1000000000000014</v>
      </c>
      <c r="M118" s="13">
        <f t="shared" si="9"/>
        <v>100.33000000000001</v>
      </c>
      <c r="N118" s="12">
        <f t="shared" si="10"/>
        <v>0.28158854897558239</v>
      </c>
      <c r="O118" s="22" t="str">
        <f t="shared" si="11"/>
        <v>ACIMA DA META (&gt;20%)</v>
      </c>
      <c r="P118" s="23"/>
    </row>
    <row r="119" spans="1:16" ht="15" hidden="1" customHeight="1" x14ac:dyDescent="0.25">
      <c r="A119" s="19" t="s">
        <v>139</v>
      </c>
      <c r="B119" s="19" t="s">
        <v>130</v>
      </c>
      <c r="C119" s="19" t="s">
        <v>97</v>
      </c>
      <c r="D119" s="20">
        <v>296.92</v>
      </c>
      <c r="E119" s="21">
        <v>0</v>
      </c>
      <c r="F119" s="20">
        <v>151.33000000000001</v>
      </c>
      <c r="G119" s="13">
        <v>39.82</v>
      </c>
      <c r="H119" s="13">
        <f t="shared" si="6"/>
        <v>296.92</v>
      </c>
      <c r="I119" s="12">
        <f t="shared" si="7"/>
        <v>0.13411019803314023</v>
      </c>
      <c r="J119" s="13">
        <f>IF(OR(B119="",C119=""),"",INDEX(Ref_Frete!$B$2:$G$54,MATCH(C119,Ref_Frete!$A$2:$A$54,0),IF(B119="Pequenos",2,IF(B119="Medios",4,6))))</f>
        <v>59.9</v>
      </c>
      <c r="K119" s="13">
        <f>IF(OR(B119="",C119=""),"",INDEX(Ref_Frete!$B$2:$G$54,MATCH(C119,Ref_Frete!$A$2:$A$54,0),IF(B119="Pequenos",1,IF(B119="Medios",3,5))))</f>
        <v>89</v>
      </c>
      <c r="L119" s="13">
        <f t="shared" si="8"/>
        <v>-29.1</v>
      </c>
      <c r="M119" s="13">
        <f t="shared" si="9"/>
        <v>46.978000000000002</v>
      </c>
      <c r="N119" s="12">
        <f t="shared" si="10"/>
        <v>0.15821770173784183</v>
      </c>
      <c r="O119" s="22" t="str">
        <f t="shared" si="11"/>
        <v>DENTRO DA META (15-20%)</v>
      </c>
      <c r="P119" s="23"/>
    </row>
    <row r="120" spans="1:16" ht="15" customHeight="1" x14ac:dyDescent="0.25">
      <c r="A120" s="19" t="s">
        <v>139</v>
      </c>
      <c r="B120" s="19" t="s">
        <v>130</v>
      </c>
      <c r="C120" s="19" t="s">
        <v>98</v>
      </c>
      <c r="D120" s="20">
        <v>296.92</v>
      </c>
      <c r="E120" s="21">
        <v>0</v>
      </c>
      <c r="F120" s="20">
        <v>151.33000000000001</v>
      </c>
      <c r="G120" s="13">
        <v>39.82</v>
      </c>
      <c r="H120" s="13">
        <f t="shared" si="6"/>
        <v>296.92</v>
      </c>
      <c r="I120" s="12">
        <f t="shared" si="7"/>
        <v>0.13411019803314023</v>
      </c>
      <c r="J120" s="13">
        <f>IF(OR(B120="",C120=""),"",INDEX(Ref_Frete!$B$2:$G$54,MATCH(C120,Ref_Frete!$A$2:$A$54,0),IF(B120="Pequenos",2,IF(B120="Medios",4,6))))</f>
        <v>39.9</v>
      </c>
      <c r="K120" s="13">
        <f>IF(OR(B120="",C120=""),"",INDEX(Ref_Frete!$B$2:$G$54,MATCH(C120,Ref_Frete!$A$2:$A$54,0),IF(B120="Pequenos",1,IF(B120="Medios",3,5))))</f>
        <v>49</v>
      </c>
      <c r="L120" s="13">
        <f t="shared" si="8"/>
        <v>-9.1000000000000014</v>
      </c>
      <c r="M120" s="13">
        <f t="shared" si="9"/>
        <v>66.978000000000009</v>
      </c>
      <c r="N120" s="12">
        <f t="shared" si="10"/>
        <v>0.2255759127037586</v>
      </c>
      <c r="O120" s="22" t="str">
        <f t="shared" si="11"/>
        <v>ACIMA DA META (&gt;20%)</v>
      </c>
      <c r="P120" s="23"/>
    </row>
    <row r="121" spans="1:16" ht="15" hidden="1" customHeight="1" x14ac:dyDescent="0.25">
      <c r="A121" s="19" t="s">
        <v>140</v>
      </c>
      <c r="B121" s="19" t="s">
        <v>130</v>
      </c>
      <c r="C121" s="19" t="s">
        <v>97</v>
      </c>
      <c r="D121" s="20">
        <v>330.79</v>
      </c>
      <c r="E121" s="21">
        <v>0</v>
      </c>
      <c r="F121" s="20">
        <v>172.54</v>
      </c>
      <c r="G121" s="13">
        <v>43.88</v>
      </c>
      <c r="H121" s="13">
        <f t="shared" si="6"/>
        <v>330.79</v>
      </c>
      <c r="I121" s="12">
        <f t="shared" si="7"/>
        <v>0.13265213579612442</v>
      </c>
      <c r="J121" s="13">
        <f>IF(OR(B121="",C121=""),"",INDEX(Ref_Frete!$B$2:$G$54,MATCH(C121,Ref_Frete!$A$2:$A$54,0),IF(B121="Pequenos",2,IF(B121="Medios",4,6))))</f>
        <v>59.9</v>
      </c>
      <c r="K121" s="13">
        <f>IF(OR(B121="",C121=""),"",INDEX(Ref_Frete!$B$2:$G$54,MATCH(C121,Ref_Frete!$A$2:$A$54,0),IF(B121="Pequenos",1,IF(B121="Medios",3,5))))</f>
        <v>89</v>
      </c>
      <c r="L121" s="13">
        <f t="shared" si="8"/>
        <v>-29.1</v>
      </c>
      <c r="M121" s="13">
        <f t="shared" si="9"/>
        <v>52.191000000000024</v>
      </c>
      <c r="N121" s="12">
        <f t="shared" si="10"/>
        <v>0.15777683726835762</v>
      </c>
      <c r="O121" s="22" t="str">
        <f t="shared" si="11"/>
        <v>DENTRO DA META (15-20%)</v>
      </c>
      <c r="P121" s="23"/>
    </row>
    <row r="122" spans="1:16" ht="15" customHeight="1" x14ac:dyDescent="0.25">
      <c r="A122" s="19" t="s">
        <v>140</v>
      </c>
      <c r="B122" s="19" t="s">
        <v>130</v>
      </c>
      <c r="C122" s="19" t="s">
        <v>98</v>
      </c>
      <c r="D122" s="20">
        <v>330.79</v>
      </c>
      <c r="E122" s="21">
        <v>0</v>
      </c>
      <c r="F122" s="20">
        <v>172.54</v>
      </c>
      <c r="G122" s="13">
        <v>43.88</v>
      </c>
      <c r="H122" s="13">
        <f t="shared" si="6"/>
        <v>330.79</v>
      </c>
      <c r="I122" s="12">
        <f t="shared" si="7"/>
        <v>0.13265213579612442</v>
      </c>
      <c r="J122" s="13">
        <f>IF(OR(B122="",C122=""),"",INDEX(Ref_Frete!$B$2:$G$54,MATCH(C122,Ref_Frete!$A$2:$A$54,0),IF(B122="Pequenos",2,IF(B122="Medios",4,6))))</f>
        <v>39.9</v>
      </c>
      <c r="K122" s="13">
        <f>IF(OR(B122="",C122=""),"",INDEX(Ref_Frete!$B$2:$G$54,MATCH(C122,Ref_Frete!$A$2:$A$54,0),IF(B122="Pequenos",1,IF(B122="Medios",3,5))))</f>
        <v>49</v>
      </c>
      <c r="L122" s="13">
        <f t="shared" si="8"/>
        <v>-9.1000000000000014</v>
      </c>
      <c r="M122" s="13">
        <f t="shared" si="9"/>
        <v>72.191000000000031</v>
      </c>
      <c r="N122" s="12">
        <f t="shared" si="10"/>
        <v>0.21823815713897043</v>
      </c>
      <c r="O122" s="22" t="str">
        <f t="shared" si="11"/>
        <v>ACIMA DA META (&gt;20%)</v>
      </c>
      <c r="P122" s="23"/>
    </row>
    <row r="123" spans="1:16" ht="15" hidden="1" customHeight="1" x14ac:dyDescent="0.25">
      <c r="A123" s="19" t="s">
        <v>141</v>
      </c>
      <c r="B123" s="19" t="s">
        <v>130</v>
      </c>
      <c r="C123" s="19" t="s">
        <v>97</v>
      </c>
      <c r="D123" s="20">
        <v>369.74</v>
      </c>
      <c r="E123" s="21">
        <v>0</v>
      </c>
      <c r="F123" s="20">
        <v>189.66</v>
      </c>
      <c r="G123" s="13">
        <v>48.56</v>
      </c>
      <c r="H123" s="13">
        <f t="shared" si="6"/>
        <v>369.74</v>
      </c>
      <c r="I123" s="12">
        <f t="shared" si="7"/>
        <v>0.13133553307729756</v>
      </c>
      <c r="J123" s="13">
        <f>IF(OR(B123="",C123=""),"",INDEX(Ref_Frete!$B$2:$G$54,MATCH(C123,Ref_Frete!$A$2:$A$54,0),IF(B123="Pequenos",2,IF(B123="Medios",4,6))))</f>
        <v>59.9</v>
      </c>
      <c r="K123" s="13">
        <f>IF(OR(B123="",C123=""),"",INDEX(Ref_Frete!$B$2:$G$54,MATCH(C123,Ref_Frete!$A$2:$A$54,0),IF(B123="Pequenos",1,IF(B123="Medios",3,5))))</f>
        <v>89</v>
      </c>
      <c r="L123" s="13">
        <f t="shared" si="8"/>
        <v>-29.1</v>
      </c>
      <c r="M123" s="13">
        <f t="shared" si="9"/>
        <v>65.445999999999998</v>
      </c>
      <c r="N123" s="12">
        <f t="shared" si="10"/>
        <v>0.17700546329853409</v>
      </c>
      <c r="O123" s="22" t="str">
        <f t="shared" si="11"/>
        <v>DENTRO DA META (15-20%)</v>
      </c>
      <c r="P123" s="23"/>
    </row>
    <row r="124" spans="1:16" ht="15" customHeight="1" x14ac:dyDescent="0.25">
      <c r="A124" s="19" t="s">
        <v>141</v>
      </c>
      <c r="B124" s="19" t="s">
        <v>130</v>
      </c>
      <c r="C124" s="19" t="s">
        <v>98</v>
      </c>
      <c r="D124" s="20">
        <v>369.74</v>
      </c>
      <c r="E124" s="21">
        <v>0</v>
      </c>
      <c r="F124" s="20">
        <v>189.66</v>
      </c>
      <c r="G124" s="13">
        <v>48.56</v>
      </c>
      <c r="H124" s="13">
        <f t="shared" si="6"/>
        <v>369.74</v>
      </c>
      <c r="I124" s="12">
        <f t="shared" si="7"/>
        <v>0.13133553307729756</v>
      </c>
      <c r="J124" s="13">
        <f>IF(OR(B124="",C124=""),"",INDEX(Ref_Frete!$B$2:$G$54,MATCH(C124,Ref_Frete!$A$2:$A$54,0),IF(B124="Pequenos",2,IF(B124="Medios",4,6))))</f>
        <v>39.9</v>
      </c>
      <c r="K124" s="13">
        <f>IF(OR(B124="",C124=""),"",INDEX(Ref_Frete!$B$2:$G$54,MATCH(C124,Ref_Frete!$A$2:$A$54,0),IF(B124="Pequenos",1,IF(B124="Medios",3,5))))</f>
        <v>49</v>
      </c>
      <c r="L124" s="13">
        <f t="shared" si="8"/>
        <v>-9.1000000000000014</v>
      </c>
      <c r="M124" s="13">
        <f t="shared" si="9"/>
        <v>85.445999999999998</v>
      </c>
      <c r="N124" s="12">
        <f t="shared" si="10"/>
        <v>0.23109752799264346</v>
      </c>
      <c r="O124" s="22" t="str">
        <f t="shared" si="11"/>
        <v>ACIMA DA META (&gt;20%)</v>
      </c>
      <c r="P124" s="23"/>
    </row>
    <row r="125" spans="1:16" ht="15" hidden="1" customHeight="1" x14ac:dyDescent="0.25">
      <c r="A125" s="19" t="s">
        <v>142</v>
      </c>
      <c r="B125" s="19" t="s">
        <v>130</v>
      </c>
      <c r="C125" s="19" t="s">
        <v>97</v>
      </c>
      <c r="D125" s="20">
        <v>413.32</v>
      </c>
      <c r="E125" s="21">
        <v>0</v>
      </c>
      <c r="F125" s="20">
        <v>216.99</v>
      </c>
      <c r="G125" s="13">
        <v>53.79</v>
      </c>
      <c r="H125" s="13">
        <f t="shared" si="6"/>
        <v>413.32</v>
      </c>
      <c r="I125" s="12">
        <f t="shared" si="7"/>
        <v>0.13014129488048001</v>
      </c>
      <c r="J125" s="13">
        <f>IF(OR(B125="",C125=""),"",INDEX(Ref_Frete!$B$2:$G$54,MATCH(C125,Ref_Frete!$A$2:$A$54,0),IF(B125="Pequenos",2,IF(B125="Medios",4,6))))</f>
        <v>59.9</v>
      </c>
      <c r="K125" s="13">
        <f>IF(OR(B125="",C125=""),"",INDEX(Ref_Frete!$B$2:$G$54,MATCH(C125,Ref_Frete!$A$2:$A$54,0),IF(B125="Pequenos",1,IF(B125="Medios",3,5))))</f>
        <v>89</v>
      </c>
      <c r="L125" s="13">
        <f t="shared" si="8"/>
        <v>-29.1</v>
      </c>
      <c r="M125" s="13">
        <f t="shared" si="9"/>
        <v>72.107999999999976</v>
      </c>
      <c r="N125" s="12">
        <f t="shared" si="10"/>
        <v>0.17446046646666016</v>
      </c>
      <c r="O125" s="22" t="str">
        <f t="shared" si="11"/>
        <v>DENTRO DA META (15-20%)</v>
      </c>
      <c r="P125" s="23"/>
    </row>
    <row r="126" spans="1:16" ht="15" customHeight="1" x14ac:dyDescent="0.25">
      <c r="A126" s="19" t="s">
        <v>142</v>
      </c>
      <c r="B126" s="19" t="s">
        <v>130</v>
      </c>
      <c r="C126" s="19" t="s">
        <v>98</v>
      </c>
      <c r="D126" s="20">
        <v>413.32</v>
      </c>
      <c r="E126" s="21">
        <v>0</v>
      </c>
      <c r="F126" s="20">
        <v>216.99</v>
      </c>
      <c r="G126" s="13">
        <v>53.79</v>
      </c>
      <c r="H126" s="13">
        <f t="shared" si="6"/>
        <v>413.32</v>
      </c>
      <c r="I126" s="12">
        <f t="shared" si="7"/>
        <v>0.13014129488048001</v>
      </c>
      <c r="J126" s="13">
        <f>IF(OR(B126="",C126=""),"",INDEX(Ref_Frete!$B$2:$G$54,MATCH(C126,Ref_Frete!$A$2:$A$54,0),IF(B126="Pequenos",2,IF(B126="Medios",4,6))))</f>
        <v>39.9</v>
      </c>
      <c r="K126" s="13">
        <f>IF(OR(B126="",C126=""),"",INDEX(Ref_Frete!$B$2:$G$54,MATCH(C126,Ref_Frete!$A$2:$A$54,0),IF(B126="Pequenos",1,IF(B126="Medios",3,5))))</f>
        <v>49</v>
      </c>
      <c r="L126" s="13">
        <f t="shared" si="8"/>
        <v>-9.1000000000000014</v>
      </c>
      <c r="M126" s="13">
        <f t="shared" si="9"/>
        <v>92.107999999999976</v>
      </c>
      <c r="N126" s="12">
        <f t="shared" si="10"/>
        <v>0.22284912416529559</v>
      </c>
      <c r="O126" s="22" t="str">
        <f t="shared" si="11"/>
        <v>ACIMA DA META (&gt;20%)</v>
      </c>
      <c r="P126" s="23"/>
    </row>
    <row r="127" spans="1:16" ht="15" hidden="1" customHeight="1" x14ac:dyDescent="0.25">
      <c r="A127" s="19" t="s">
        <v>143</v>
      </c>
      <c r="B127" s="19" t="s">
        <v>130</v>
      </c>
      <c r="C127" s="19" t="s">
        <v>97</v>
      </c>
      <c r="D127" s="20">
        <v>396.88</v>
      </c>
      <c r="E127" s="21">
        <v>0</v>
      </c>
      <c r="F127" s="20">
        <v>205.57</v>
      </c>
      <c r="G127" s="13">
        <v>51.81</v>
      </c>
      <c r="H127" s="13">
        <f t="shared" si="6"/>
        <v>396.88</v>
      </c>
      <c r="I127" s="12">
        <f t="shared" si="7"/>
        <v>0.13054323725055433</v>
      </c>
      <c r="J127" s="13">
        <f>IF(OR(B127="",C127=""),"",INDEX(Ref_Frete!$B$2:$G$54,MATCH(C127,Ref_Frete!$A$2:$A$54,0),IF(B127="Pequenos",2,IF(B127="Medios",4,6))))</f>
        <v>59.9</v>
      </c>
      <c r="K127" s="13">
        <f>IF(OR(B127="",C127=""),"",INDEX(Ref_Frete!$B$2:$G$54,MATCH(C127,Ref_Frete!$A$2:$A$54,0),IF(B127="Pequenos",1,IF(B127="Medios",3,5))))</f>
        <v>89</v>
      </c>
      <c r="L127" s="13">
        <f t="shared" si="8"/>
        <v>-29.1</v>
      </c>
      <c r="M127" s="13">
        <f t="shared" si="9"/>
        <v>70.711999999999989</v>
      </c>
      <c r="N127" s="12">
        <f t="shared" si="10"/>
        <v>0.17816972384599877</v>
      </c>
      <c r="O127" s="22" t="str">
        <f t="shared" si="11"/>
        <v>DENTRO DA META (15-20%)</v>
      </c>
      <c r="P127" s="23"/>
    </row>
    <row r="128" spans="1:16" ht="15" customHeight="1" x14ac:dyDescent="0.25">
      <c r="A128" s="19" t="s">
        <v>143</v>
      </c>
      <c r="B128" s="19" t="s">
        <v>130</v>
      </c>
      <c r="C128" s="19" t="s">
        <v>98</v>
      </c>
      <c r="D128" s="20">
        <v>396.88</v>
      </c>
      <c r="E128" s="21">
        <v>0</v>
      </c>
      <c r="F128" s="20">
        <v>205.57</v>
      </c>
      <c r="G128" s="13">
        <v>51.81</v>
      </c>
      <c r="H128" s="13">
        <f t="shared" si="6"/>
        <v>396.88</v>
      </c>
      <c r="I128" s="12">
        <f t="shared" si="7"/>
        <v>0.13054323725055433</v>
      </c>
      <c r="J128" s="13">
        <f>IF(OR(B128="",C128=""),"",INDEX(Ref_Frete!$B$2:$G$54,MATCH(C128,Ref_Frete!$A$2:$A$54,0),IF(B128="Pequenos",2,IF(B128="Medios",4,6))))</f>
        <v>39.9</v>
      </c>
      <c r="K128" s="13">
        <f>IF(OR(B128="",C128=""),"",INDEX(Ref_Frete!$B$2:$G$54,MATCH(C128,Ref_Frete!$A$2:$A$54,0),IF(B128="Pequenos",1,IF(B128="Medios",3,5))))</f>
        <v>49</v>
      </c>
      <c r="L128" s="13">
        <f t="shared" si="8"/>
        <v>-9.1000000000000014</v>
      </c>
      <c r="M128" s="13">
        <f t="shared" si="9"/>
        <v>90.711999999999989</v>
      </c>
      <c r="N128" s="12">
        <f t="shared" si="10"/>
        <v>0.22856278976012898</v>
      </c>
      <c r="O128" s="22" t="str">
        <f t="shared" si="11"/>
        <v>ACIMA DA META (&gt;20%)</v>
      </c>
      <c r="P128" s="23"/>
    </row>
    <row r="129" spans="1:16" ht="15" hidden="1" customHeight="1" x14ac:dyDescent="0.25">
      <c r="A129" s="19" t="s">
        <v>144</v>
      </c>
      <c r="B129" s="19" t="s">
        <v>130</v>
      </c>
      <c r="C129" s="19" t="s">
        <v>97</v>
      </c>
      <c r="D129" s="20">
        <v>446.71</v>
      </c>
      <c r="E129" s="21">
        <v>0</v>
      </c>
      <c r="F129" s="20">
        <v>235.28</v>
      </c>
      <c r="G129" s="13">
        <v>57.79</v>
      </c>
      <c r="H129" s="13">
        <f t="shared" si="6"/>
        <v>446.71</v>
      </c>
      <c r="I129" s="12">
        <f t="shared" si="7"/>
        <v>0.12936804638355981</v>
      </c>
      <c r="J129" s="13">
        <f>IF(OR(B129="",C129=""),"",INDEX(Ref_Frete!$B$2:$G$54,MATCH(C129,Ref_Frete!$A$2:$A$54,0),IF(B129="Pequenos",2,IF(B129="Medios",4,6))))</f>
        <v>59.9</v>
      </c>
      <c r="K129" s="13">
        <f>IF(OR(B129="",C129=""),"",INDEX(Ref_Frete!$B$2:$G$54,MATCH(C129,Ref_Frete!$A$2:$A$54,0),IF(B129="Pequenos",1,IF(B129="Medios",3,5))))</f>
        <v>89</v>
      </c>
      <c r="L129" s="13">
        <f t="shared" si="8"/>
        <v>-29.1</v>
      </c>
      <c r="M129" s="13">
        <f t="shared" si="9"/>
        <v>79.868999999999971</v>
      </c>
      <c r="N129" s="12">
        <f t="shared" si="10"/>
        <v>0.17879384835799506</v>
      </c>
      <c r="O129" s="22" t="str">
        <f t="shared" si="11"/>
        <v>DENTRO DA META (15-20%)</v>
      </c>
      <c r="P129" s="23"/>
    </row>
    <row r="130" spans="1:16" ht="15" customHeight="1" x14ac:dyDescent="0.25">
      <c r="A130" s="19" t="s">
        <v>144</v>
      </c>
      <c r="B130" s="19" t="s">
        <v>130</v>
      </c>
      <c r="C130" s="19" t="s">
        <v>98</v>
      </c>
      <c r="D130" s="20">
        <v>446.71</v>
      </c>
      <c r="E130" s="21">
        <v>0</v>
      </c>
      <c r="F130" s="20">
        <v>235.28</v>
      </c>
      <c r="G130" s="13">
        <v>57.79</v>
      </c>
      <c r="H130" s="13">
        <f t="shared" si="6"/>
        <v>446.71</v>
      </c>
      <c r="I130" s="12">
        <f t="shared" si="7"/>
        <v>0.12936804638355981</v>
      </c>
      <c r="J130" s="13">
        <f>IF(OR(B130="",C130=""),"",INDEX(Ref_Frete!$B$2:$G$54,MATCH(C130,Ref_Frete!$A$2:$A$54,0),IF(B130="Pequenos",2,IF(B130="Medios",4,6))))</f>
        <v>39.9</v>
      </c>
      <c r="K130" s="13">
        <f>IF(OR(B130="",C130=""),"",INDEX(Ref_Frete!$B$2:$G$54,MATCH(C130,Ref_Frete!$A$2:$A$54,0),IF(B130="Pequenos",1,IF(B130="Medios",3,5))))</f>
        <v>49</v>
      </c>
      <c r="L130" s="13">
        <f t="shared" si="8"/>
        <v>-9.1000000000000014</v>
      </c>
      <c r="M130" s="13">
        <f t="shared" si="9"/>
        <v>99.868999999999971</v>
      </c>
      <c r="N130" s="12">
        <f t="shared" si="10"/>
        <v>0.22356562423048504</v>
      </c>
      <c r="O130" s="22" t="str">
        <f t="shared" si="11"/>
        <v>ACIMA DA META (&gt;20%)</v>
      </c>
      <c r="P130" s="23"/>
    </row>
    <row r="131" spans="1:16" ht="15" hidden="1" customHeight="1" x14ac:dyDescent="0.25">
      <c r="A131" s="19" t="s">
        <v>145</v>
      </c>
      <c r="B131" s="19" t="s">
        <v>130</v>
      </c>
      <c r="C131" s="19" t="s">
        <v>97</v>
      </c>
      <c r="D131" s="20">
        <v>439.24</v>
      </c>
      <c r="E131" s="21">
        <v>0</v>
      </c>
      <c r="F131" s="20">
        <v>222.41</v>
      </c>
      <c r="G131" s="13">
        <v>56.9</v>
      </c>
      <c r="H131" s="13">
        <f t="shared" si="6"/>
        <v>439.24</v>
      </c>
      <c r="I131" s="12">
        <f t="shared" si="7"/>
        <v>0.12954193607139605</v>
      </c>
      <c r="J131" s="13">
        <f>IF(OR(B131="",C131=""),"",INDEX(Ref_Frete!$B$2:$G$54,MATCH(C131,Ref_Frete!$A$2:$A$54,0),IF(B131="Pequenos",2,IF(B131="Medios",4,6))))</f>
        <v>59.9</v>
      </c>
      <c r="K131" s="13">
        <f>IF(OR(B131="",C131=""),"",INDEX(Ref_Frete!$B$2:$G$54,MATCH(C131,Ref_Frete!$A$2:$A$54,0),IF(B131="Pequenos",1,IF(B131="Medios",3,5))))</f>
        <v>89</v>
      </c>
      <c r="L131" s="13">
        <f t="shared" si="8"/>
        <v>-29.1</v>
      </c>
      <c r="M131" s="13">
        <f t="shared" si="9"/>
        <v>86.906000000000034</v>
      </c>
      <c r="N131" s="12">
        <f t="shared" si="10"/>
        <v>0.19785538657681456</v>
      </c>
      <c r="O131" s="22" t="str">
        <f t="shared" si="11"/>
        <v>DENTRO DA META (15-20%)</v>
      </c>
      <c r="P131" s="23"/>
    </row>
    <row r="132" spans="1:16" ht="15" customHeight="1" x14ac:dyDescent="0.25">
      <c r="A132" s="19" t="s">
        <v>145</v>
      </c>
      <c r="B132" s="19" t="s">
        <v>130</v>
      </c>
      <c r="C132" s="19" t="s">
        <v>98</v>
      </c>
      <c r="D132" s="20">
        <v>439.24</v>
      </c>
      <c r="E132" s="21">
        <v>0</v>
      </c>
      <c r="F132" s="20">
        <v>222.41</v>
      </c>
      <c r="G132" s="13">
        <v>56.9</v>
      </c>
      <c r="H132" s="13">
        <f t="shared" si="6"/>
        <v>439.24</v>
      </c>
      <c r="I132" s="12">
        <f t="shared" si="7"/>
        <v>0.12954193607139605</v>
      </c>
      <c r="J132" s="13">
        <f>IF(OR(B132="",C132=""),"",INDEX(Ref_Frete!$B$2:$G$54,MATCH(C132,Ref_Frete!$A$2:$A$54,0),IF(B132="Pequenos",2,IF(B132="Medios",4,6))))</f>
        <v>39.9</v>
      </c>
      <c r="K132" s="13">
        <f>IF(OR(B132="",C132=""),"",INDEX(Ref_Frete!$B$2:$G$54,MATCH(C132,Ref_Frete!$A$2:$A$54,0),IF(B132="Pequenos",1,IF(B132="Medios",3,5))))</f>
        <v>49</v>
      </c>
      <c r="L132" s="13">
        <f t="shared" si="8"/>
        <v>-9.1000000000000014</v>
      </c>
      <c r="M132" s="13">
        <f t="shared" si="9"/>
        <v>106.90600000000003</v>
      </c>
      <c r="N132" s="12">
        <f t="shared" si="10"/>
        <v>0.24338858027502056</v>
      </c>
      <c r="O132" s="22" t="str">
        <f t="shared" si="11"/>
        <v>ACIMA DA META (&gt;20%)</v>
      </c>
      <c r="P132" s="23"/>
    </row>
    <row r="133" spans="1:16" ht="15" hidden="1" customHeight="1" x14ac:dyDescent="0.25">
      <c r="A133" s="19" t="s">
        <v>146</v>
      </c>
      <c r="B133" s="19" t="s">
        <v>130</v>
      </c>
      <c r="C133" s="19" t="s">
        <v>97</v>
      </c>
      <c r="D133" s="20">
        <v>507.78</v>
      </c>
      <c r="E133" s="21">
        <v>0</v>
      </c>
      <c r="F133" s="20">
        <v>258.22000000000003</v>
      </c>
      <c r="G133" s="13">
        <v>65.12</v>
      </c>
      <c r="H133" s="13">
        <f t="shared" si="6"/>
        <v>507.78</v>
      </c>
      <c r="I133" s="12">
        <f t="shared" si="7"/>
        <v>0.12824451534128956</v>
      </c>
      <c r="J133" s="13">
        <f>IF(OR(B133="",C133=""),"",INDEX(Ref_Frete!$B$2:$G$54,MATCH(C133,Ref_Frete!$A$2:$A$54,0),IF(B133="Pequenos",2,IF(B133="Medios",4,6))))</f>
        <v>59.9</v>
      </c>
      <c r="K133" s="13">
        <f>IF(OR(B133="",C133=""),"",INDEX(Ref_Frete!$B$2:$G$54,MATCH(C133,Ref_Frete!$A$2:$A$54,0),IF(B133="Pequenos",1,IF(B133="Medios",3,5))))</f>
        <v>89</v>
      </c>
      <c r="L133" s="13">
        <f t="shared" si="8"/>
        <v>-29.1</v>
      </c>
      <c r="M133" s="13">
        <f t="shared" si="9"/>
        <v>104.56199999999995</v>
      </c>
      <c r="N133" s="12">
        <f t="shared" si="10"/>
        <v>0.20591988656504778</v>
      </c>
      <c r="O133" s="22" t="str">
        <f t="shared" si="11"/>
        <v>ACIMA DA META (&gt;20%)</v>
      </c>
      <c r="P133" s="23"/>
    </row>
    <row r="134" spans="1:16" ht="15" customHeight="1" x14ac:dyDescent="0.25">
      <c r="A134" s="19" t="s">
        <v>146</v>
      </c>
      <c r="B134" s="19" t="s">
        <v>130</v>
      </c>
      <c r="C134" s="19" t="s">
        <v>98</v>
      </c>
      <c r="D134" s="20">
        <v>507.78</v>
      </c>
      <c r="E134" s="21">
        <v>0</v>
      </c>
      <c r="F134" s="20">
        <v>258.22000000000003</v>
      </c>
      <c r="G134" s="13">
        <v>65.12</v>
      </c>
      <c r="H134" s="13">
        <f t="shared" si="6"/>
        <v>507.78</v>
      </c>
      <c r="I134" s="12">
        <f t="shared" si="7"/>
        <v>0.12824451534128956</v>
      </c>
      <c r="J134" s="13">
        <f>IF(OR(B134="",C134=""),"",INDEX(Ref_Frete!$B$2:$G$54,MATCH(C134,Ref_Frete!$A$2:$A$54,0),IF(B134="Pequenos",2,IF(B134="Medios",4,6))))</f>
        <v>39.9</v>
      </c>
      <c r="K134" s="13">
        <f>IF(OR(B134="",C134=""),"",INDEX(Ref_Frete!$B$2:$G$54,MATCH(C134,Ref_Frete!$A$2:$A$54,0),IF(B134="Pequenos",1,IF(B134="Medios",3,5))))</f>
        <v>49</v>
      </c>
      <c r="L134" s="13">
        <f t="shared" si="8"/>
        <v>-9.1000000000000014</v>
      </c>
      <c r="M134" s="13">
        <f t="shared" si="9"/>
        <v>124.56199999999995</v>
      </c>
      <c r="N134" s="12">
        <f t="shared" si="10"/>
        <v>0.2453070227263775</v>
      </c>
      <c r="O134" s="22" t="str">
        <f t="shared" si="11"/>
        <v>ACIMA DA META (&gt;20%)</v>
      </c>
      <c r="P134" s="23"/>
    </row>
    <row r="135" spans="1:16" ht="15" hidden="1" customHeight="1" x14ac:dyDescent="0.25">
      <c r="A135" s="19" t="s">
        <v>147</v>
      </c>
      <c r="B135" s="19" t="s">
        <v>130</v>
      </c>
      <c r="C135" s="19" t="s">
        <v>97</v>
      </c>
      <c r="D135" s="20">
        <v>526.32000000000005</v>
      </c>
      <c r="E135" s="21">
        <v>0</v>
      </c>
      <c r="F135" s="20">
        <v>269.82</v>
      </c>
      <c r="G135" s="13">
        <v>67.349999999999994</v>
      </c>
      <c r="H135" s="13">
        <f t="shared" ref="H135:H198" si="12">IF(D135="","",D135*(1-E135))</f>
        <v>526.32000000000005</v>
      </c>
      <c r="I135" s="12">
        <f t="shared" ref="I135:I198" si="13">IF(OR(G135="",H135=""),"",G135/H135)</f>
        <v>0.12796397628818967</v>
      </c>
      <c r="J135" s="13">
        <f>IF(OR(B135="",C135=""),"",INDEX(Ref_Frete!$B$2:$G$54,MATCH(C135,Ref_Frete!$A$2:$A$54,0),IF(B135="Pequenos",2,IF(B135="Medios",4,6))))</f>
        <v>59.9</v>
      </c>
      <c r="K135" s="13">
        <f>IF(OR(B135="",C135=""),"",INDEX(Ref_Frete!$B$2:$G$54,MATCH(C135,Ref_Frete!$A$2:$A$54,0),IF(B135="Pequenos",1,IF(B135="Medios",3,5))))</f>
        <v>89</v>
      </c>
      <c r="L135" s="13">
        <f t="shared" ref="L135:L198" si="14">IF(OR(J135="",K135=""),"",J135-K135)</f>
        <v>-29.1</v>
      </c>
      <c r="M135" s="13">
        <f t="shared" ref="M135:M198" si="15">IF(OR(H135="",F135="",G135=""),"",H135-G135-F135-H135*$B$3+IF(L135="",0,L135))</f>
        <v>107.41800000000003</v>
      </c>
      <c r="N135" s="12">
        <f t="shared" ref="N135:N198" si="16">IF(OR(M135="",H135=0,H135=""),"",M135/H135)</f>
        <v>0.20409256725946198</v>
      </c>
      <c r="O135" s="22" t="str">
        <f t="shared" ref="O135:O198" si="17">IF(N135="","",IF(N135&lt;0,"PREJUÍZO",IF(N135&lt;0.1,"CRÍTICO (&lt;10%)",IF(N135&lt;0.15,"ABAIXO DA META (10-15%)",IF(N135&lt;=0.2,"DENTRO DA META (15-20%)","ACIMA DA META (&gt;20%)")))))</f>
        <v>ACIMA DA META (&gt;20%)</v>
      </c>
      <c r="P135" s="23"/>
    </row>
    <row r="136" spans="1:16" ht="15" customHeight="1" x14ac:dyDescent="0.25">
      <c r="A136" s="19" t="s">
        <v>147</v>
      </c>
      <c r="B136" s="19" t="s">
        <v>130</v>
      </c>
      <c r="C136" s="19" t="s">
        <v>98</v>
      </c>
      <c r="D136" s="20">
        <v>526.32000000000005</v>
      </c>
      <c r="E136" s="21">
        <v>0</v>
      </c>
      <c r="F136" s="20">
        <v>269.82</v>
      </c>
      <c r="G136" s="13">
        <v>67.349999999999994</v>
      </c>
      <c r="H136" s="13">
        <f t="shared" si="12"/>
        <v>526.32000000000005</v>
      </c>
      <c r="I136" s="12">
        <f t="shared" si="13"/>
        <v>0.12796397628818967</v>
      </c>
      <c r="J136" s="13">
        <f>IF(OR(B136="",C136=""),"",INDEX(Ref_Frete!$B$2:$G$54,MATCH(C136,Ref_Frete!$A$2:$A$54,0),IF(B136="Pequenos",2,IF(B136="Medios",4,6))))</f>
        <v>39.9</v>
      </c>
      <c r="K136" s="13">
        <f>IF(OR(B136="",C136=""),"",INDEX(Ref_Frete!$B$2:$G$54,MATCH(C136,Ref_Frete!$A$2:$A$54,0),IF(B136="Pequenos",1,IF(B136="Medios",3,5))))</f>
        <v>49</v>
      </c>
      <c r="L136" s="13">
        <f t="shared" si="14"/>
        <v>-9.1000000000000014</v>
      </c>
      <c r="M136" s="13">
        <f t="shared" si="15"/>
        <v>127.41800000000003</v>
      </c>
      <c r="N136" s="12">
        <f t="shared" si="16"/>
        <v>0.24209226326189395</v>
      </c>
      <c r="O136" s="22" t="str">
        <f t="shared" si="17"/>
        <v>ACIMA DA META (&gt;20%)</v>
      </c>
      <c r="P136" s="23"/>
    </row>
    <row r="137" spans="1:16" ht="15" hidden="1" customHeight="1" x14ac:dyDescent="0.25">
      <c r="A137" s="19" t="s">
        <v>148</v>
      </c>
      <c r="B137" s="19" t="s">
        <v>130</v>
      </c>
      <c r="C137" s="19" t="s">
        <v>97</v>
      </c>
      <c r="D137" s="20">
        <v>543.85</v>
      </c>
      <c r="E137" s="21">
        <v>0</v>
      </c>
      <c r="F137" s="20">
        <v>279.42</v>
      </c>
      <c r="G137" s="13">
        <v>69.45</v>
      </c>
      <c r="H137" s="13">
        <f t="shared" si="12"/>
        <v>543.85</v>
      </c>
      <c r="I137" s="12">
        <f t="shared" si="13"/>
        <v>0.12770065275351661</v>
      </c>
      <c r="J137" s="13">
        <f>IF(OR(B137="",C137=""),"",INDEX(Ref_Frete!$B$2:$G$54,MATCH(C137,Ref_Frete!$A$2:$A$54,0),IF(B137="Pequenos",2,IF(B137="Medios",4,6))))</f>
        <v>59.9</v>
      </c>
      <c r="K137" s="13">
        <f>IF(OR(B137="",C137=""),"",INDEX(Ref_Frete!$B$2:$G$54,MATCH(C137,Ref_Frete!$A$2:$A$54,0),IF(B137="Pequenos",1,IF(B137="Medios",3,5))))</f>
        <v>89</v>
      </c>
      <c r="L137" s="13">
        <f t="shared" si="14"/>
        <v>-29.1</v>
      </c>
      <c r="M137" s="13">
        <f t="shared" si="15"/>
        <v>111.49500000000003</v>
      </c>
      <c r="N137" s="12">
        <f t="shared" si="16"/>
        <v>0.2050105727682266</v>
      </c>
      <c r="O137" s="22" t="str">
        <f t="shared" si="17"/>
        <v>ACIMA DA META (&gt;20%)</v>
      </c>
      <c r="P137" s="23"/>
    </row>
    <row r="138" spans="1:16" ht="15" customHeight="1" x14ac:dyDescent="0.25">
      <c r="A138" s="19" t="s">
        <v>148</v>
      </c>
      <c r="B138" s="19" t="s">
        <v>130</v>
      </c>
      <c r="C138" s="19" t="s">
        <v>98</v>
      </c>
      <c r="D138" s="20">
        <v>543.85</v>
      </c>
      <c r="E138" s="21">
        <v>0</v>
      </c>
      <c r="F138" s="20">
        <v>279.42</v>
      </c>
      <c r="G138" s="13">
        <v>69.45</v>
      </c>
      <c r="H138" s="13">
        <f t="shared" si="12"/>
        <v>543.85</v>
      </c>
      <c r="I138" s="12">
        <f t="shared" si="13"/>
        <v>0.12770065275351661</v>
      </c>
      <c r="J138" s="13">
        <f>IF(OR(B138="",C138=""),"",INDEX(Ref_Frete!$B$2:$G$54,MATCH(C138,Ref_Frete!$A$2:$A$54,0),IF(B138="Pequenos",2,IF(B138="Medios",4,6))))</f>
        <v>39.9</v>
      </c>
      <c r="K138" s="13">
        <f>IF(OR(B138="",C138=""),"",INDEX(Ref_Frete!$B$2:$G$54,MATCH(C138,Ref_Frete!$A$2:$A$54,0),IF(B138="Pequenos",1,IF(B138="Medios",3,5))))</f>
        <v>49</v>
      </c>
      <c r="L138" s="13">
        <f t="shared" si="14"/>
        <v>-9.1000000000000014</v>
      </c>
      <c r="M138" s="13">
        <f t="shared" si="15"/>
        <v>131.49500000000003</v>
      </c>
      <c r="N138" s="12">
        <f t="shared" si="16"/>
        <v>0.24178541877355894</v>
      </c>
      <c r="O138" s="22" t="str">
        <f t="shared" si="17"/>
        <v>ACIMA DA META (&gt;20%)</v>
      </c>
      <c r="P138" s="23"/>
    </row>
    <row r="139" spans="1:16" ht="15" hidden="1" customHeight="1" x14ac:dyDescent="0.25">
      <c r="A139" s="19" t="s">
        <v>149</v>
      </c>
      <c r="B139" s="19" t="s">
        <v>130</v>
      </c>
      <c r="C139" s="19" t="s">
        <v>97</v>
      </c>
      <c r="D139" s="20">
        <v>642.24</v>
      </c>
      <c r="E139" s="21">
        <v>0</v>
      </c>
      <c r="F139" s="20">
        <v>341.01</v>
      </c>
      <c r="G139" s="13">
        <v>81.260000000000005</v>
      </c>
      <c r="H139" s="13">
        <f t="shared" si="12"/>
        <v>642.24</v>
      </c>
      <c r="I139" s="12">
        <f t="shared" si="13"/>
        <v>0.12652590931738913</v>
      </c>
      <c r="J139" s="13">
        <f>IF(OR(B139="",C139=""),"",INDEX(Ref_Frete!$B$2:$G$54,MATCH(C139,Ref_Frete!$A$2:$A$54,0),IF(B139="Pequenos",2,IF(B139="Medios",4,6))))</f>
        <v>59.9</v>
      </c>
      <c r="K139" s="13">
        <f>IF(OR(B139="",C139=""),"",INDEX(Ref_Frete!$B$2:$G$54,MATCH(C139,Ref_Frete!$A$2:$A$54,0),IF(B139="Pequenos",1,IF(B139="Medios",3,5))))</f>
        <v>89</v>
      </c>
      <c r="L139" s="13">
        <f t="shared" si="14"/>
        <v>-29.1</v>
      </c>
      <c r="M139" s="13">
        <f t="shared" si="15"/>
        <v>126.64600000000004</v>
      </c>
      <c r="N139" s="12">
        <f t="shared" si="16"/>
        <v>0.19719419531639268</v>
      </c>
      <c r="O139" s="22" t="str">
        <f t="shared" si="17"/>
        <v>DENTRO DA META (15-20%)</v>
      </c>
      <c r="P139" s="23"/>
    </row>
    <row r="140" spans="1:16" ht="15" customHeight="1" x14ac:dyDescent="0.25">
      <c r="A140" s="19" t="s">
        <v>149</v>
      </c>
      <c r="B140" s="19" t="s">
        <v>130</v>
      </c>
      <c r="C140" s="19" t="s">
        <v>98</v>
      </c>
      <c r="D140" s="20">
        <v>642.24</v>
      </c>
      <c r="E140" s="21">
        <v>0</v>
      </c>
      <c r="F140" s="20">
        <v>341.01</v>
      </c>
      <c r="G140" s="13">
        <v>81.260000000000005</v>
      </c>
      <c r="H140" s="13">
        <f t="shared" si="12"/>
        <v>642.24</v>
      </c>
      <c r="I140" s="12">
        <f t="shared" si="13"/>
        <v>0.12652590931738913</v>
      </c>
      <c r="J140" s="13">
        <f>IF(OR(B140="",C140=""),"",INDEX(Ref_Frete!$B$2:$G$54,MATCH(C140,Ref_Frete!$A$2:$A$54,0),IF(B140="Pequenos",2,IF(B140="Medios",4,6))))</f>
        <v>39.9</v>
      </c>
      <c r="K140" s="13">
        <f>IF(OR(B140="",C140=""),"",INDEX(Ref_Frete!$B$2:$G$54,MATCH(C140,Ref_Frete!$A$2:$A$54,0),IF(B140="Pequenos",1,IF(B140="Medios",3,5))))</f>
        <v>49</v>
      </c>
      <c r="L140" s="13">
        <f t="shared" si="14"/>
        <v>-9.1000000000000014</v>
      </c>
      <c r="M140" s="13">
        <f t="shared" si="15"/>
        <v>146.64600000000004</v>
      </c>
      <c r="N140" s="12">
        <f t="shared" si="16"/>
        <v>0.22833520179372205</v>
      </c>
      <c r="O140" s="22" t="str">
        <f t="shared" si="17"/>
        <v>ACIMA DA META (&gt;20%)</v>
      </c>
      <c r="P140" s="23"/>
    </row>
    <row r="141" spans="1:16" ht="15" hidden="1" customHeight="1" x14ac:dyDescent="0.25">
      <c r="A141" s="19" t="s">
        <v>150</v>
      </c>
      <c r="B141" s="19" t="s">
        <v>130</v>
      </c>
      <c r="C141" s="19" t="s">
        <v>97</v>
      </c>
      <c r="D141" s="20">
        <v>571.15</v>
      </c>
      <c r="E141" s="21">
        <v>0</v>
      </c>
      <c r="F141" s="20">
        <v>292.43</v>
      </c>
      <c r="G141" s="13">
        <v>72.73</v>
      </c>
      <c r="H141" s="13">
        <f t="shared" si="12"/>
        <v>571.15</v>
      </c>
      <c r="I141" s="12">
        <f t="shared" si="13"/>
        <v>0.1273395780442966</v>
      </c>
      <c r="J141" s="13">
        <f>IF(OR(B141="",C141=""),"",INDEX(Ref_Frete!$B$2:$G$54,MATCH(C141,Ref_Frete!$A$2:$A$54,0),IF(B141="Pequenos",2,IF(B141="Medios",4,6))))</f>
        <v>59.9</v>
      </c>
      <c r="K141" s="13">
        <f>IF(OR(B141="",C141=""),"",INDEX(Ref_Frete!$B$2:$G$54,MATCH(C141,Ref_Frete!$A$2:$A$54,0),IF(B141="Pequenos",1,IF(B141="Medios",3,5))))</f>
        <v>89</v>
      </c>
      <c r="L141" s="13">
        <f t="shared" si="14"/>
        <v>-29.1</v>
      </c>
      <c r="M141" s="13">
        <f t="shared" si="15"/>
        <v>119.77499999999995</v>
      </c>
      <c r="N141" s="12">
        <f t="shared" si="16"/>
        <v>0.20970848288540656</v>
      </c>
      <c r="O141" s="22" t="str">
        <f t="shared" si="17"/>
        <v>ACIMA DA META (&gt;20%)</v>
      </c>
      <c r="P141" s="23"/>
    </row>
    <row r="142" spans="1:16" ht="15" customHeight="1" x14ac:dyDescent="0.25">
      <c r="A142" s="19" t="s">
        <v>150</v>
      </c>
      <c r="B142" s="19" t="s">
        <v>130</v>
      </c>
      <c r="C142" s="19" t="s">
        <v>98</v>
      </c>
      <c r="D142" s="20">
        <v>571.15</v>
      </c>
      <c r="E142" s="21">
        <v>0</v>
      </c>
      <c r="F142" s="20">
        <v>292.43</v>
      </c>
      <c r="G142" s="13">
        <v>72.73</v>
      </c>
      <c r="H142" s="13">
        <f t="shared" si="12"/>
        <v>571.15</v>
      </c>
      <c r="I142" s="12">
        <f t="shared" si="13"/>
        <v>0.1273395780442966</v>
      </c>
      <c r="J142" s="13">
        <f>IF(OR(B142="",C142=""),"",INDEX(Ref_Frete!$B$2:$G$54,MATCH(C142,Ref_Frete!$A$2:$A$54,0),IF(B142="Pequenos",2,IF(B142="Medios",4,6))))</f>
        <v>39.9</v>
      </c>
      <c r="K142" s="13">
        <f>IF(OR(B142="",C142=""),"",INDEX(Ref_Frete!$B$2:$G$54,MATCH(C142,Ref_Frete!$A$2:$A$54,0),IF(B142="Pequenos",1,IF(B142="Medios",3,5))))</f>
        <v>49</v>
      </c>
      <c r="L142" s="13">
        <f t="shared" si="14"/>
        <v>-9.1000000000000014</v>
      </c>
      <c r="M142" s="13">
        <f t="shared" si="15"/>
        <v>139.77499999999995</v>
      </c>
      <c r="N142" s="12">
        <f t="shared" si="16"/>
        <v>0.24472555370743229</v>
      </c>
      <c r="O142" s="22" t="str">
        <f t="shared" si="17"/>
        <v>ACIMA DA META (&gt;20%)</v>
      </c>
      <c r="P142" s="23"/>
    </row>
    <row r="143" spans="1:16" ht="15" hidden="1" customHeight="1" x14ac:dyDescent="0.25">
      <c r="A143" s="19" t="s">
        <v>151</v>
      </c>
      <c r="B143" s="19" t="s">
        <v>130</v>
      </c>
      <c r="C143" s="19" t="s">
        <v>97</v>
      </c>
      <c r="D143" s="20">
        <v>650.63</v>
      </c>
      <c r="E143" s="21">
        <v>0</v>
      </c>
      <c r="F143" s="20">
        <v>342.16</v>
      </c>
      <c r="G143" s="13">
        <v>82.26</v>
      </c>
      <c r="H143" s="13">
        <f t="shared" si="12"/>
        <v>650.63</v>
      </c>
      <c r="I143" s="12">
        <f t="shared" si="13"/>
        <v>0.12643130504280467</v>
      </c>
      <c r="J143" s="13">
        <f>IF(OR(B143="",C143=""),"",INDEX(Ref_Frete!$B$2:$G$54,MATCH(C143,Ref_Frete!$A$2:$A$54,0),IF(B143="Pequenos",2,IF(B143="Medios",4,6))))</f>
        <v>59.9</v>
      </c>
      <c r="K143" s="13">
        <f>IF(OR(B143="",C143=""),"",INDEX(Ref_Frete!$B$2:$G$54,MATCH(C143,Ref_Frete!$A$2:$A$54,0),IF(B143="Pequenos",1,IF(B143="Medios",3,5))))</f>
        <v>89</v>
      </c>
      <c r="L143" s="13">
        <f t="shared" si="14"/>
        <v>-29.1</v>
      </c>
      <c r="M143" s="13">
        <f t="shared" si="15"/>
        <v>132.047</v>
      </c>
      <c r="N143" s="12">
        <f t="shared" si="16"/>
        <v>0.20295252293930499</v>
      </c>
      <c r="O143" s="22" t="str">
        <f t="shared" si="17"/>
        <v>ACIMA DA META (&gt;20%)</v>
      </c>
      <c r="P143" s="23"/>
    </row>
    <row r="144" spans="1:16" ht="15" customHeight="1" x14ac:dyDescent="0.25">
      <c r="A144" s="19" t="s">
        <v>151</v>
      </c>
      <c r="B144" s="19" t="s">
        <v>130</v>
      </c>
      <c r="C144" s="19" t="s">
        <v>98</v>
      </c>
      <c r="D144" s="20">
        <v>650.63</v>
      </c>
      <c r="E144" s="21">
        <v>0</v>
      </c>
      <c r="F144" s="20">
        <v>342.16</v>
      </c>
      <c r="G144" s="13">
        <v>82.26</v>
      </c>
      <c r="H144" s="13">
        <f t="shared" si="12"/>
        <v>650.63</v>
      </c>
      <c r="I144" s="12">
        <f t="shared" si="13"/>
        <v>0.12643130504280467</v>
      </c>
      <c r="J144" s="13">
        <f>IF(OR(B144="",C144=""),"",INDEX(Ref_Frete!$B$2:$G$54,MATCH(C144,Ref_Frete!$A$2:$A$54,0),IF(B144="Pequenos",2,IF(B144="Medios",4,6))))</f>
        <v>39.9</v>
      </c>
      <c r="K144" s="13">
        <f>IF(OR(B144="",C144=""),"",INDEX(Ref_Frete!$B$2:$G$54,MATCH(C144,Ref_Frete!$A$2:$A$54,0),IF(B144="Pequenos",1,IF(B144="Medios",3,5))))</f>
        <v>49</v>
      </c>
      <c r="L144" s="13">
        <f t="shared" si="14"/>
        <v>-9.1000000000000014</v>
      </c>
      <c r="M144" s="13">
        <f t="shared" si="15"/>
        <v>152.047</v>
      </c>
      <c r="N144" s="12">
        <f t="shared" si="16"/>
        <v>0.23369196010021057</v>
      </c>
      <c r="O144" s="22" t="str">
        <f t="shared" si="17"/>
        <v>ACIMA DA META (&gt;20%)</v>
      </c>
      <c r="P144" s="23"/>
    </row>
    <row r="145" spans="1:16" ht="15" hidden="1" customHeight="1" x14ac:dyDescent="0.25">
      <c r="A145" s="19" t="s">
        <v>152</v>
      </c>
      <c r="B145" s="19" t="s">
        <v>130</v>
      </c>
      <c r="C145" s="19" t="s">
        <v>97</v>
      </c>
      <c r="D145" s="20">
        <v>635.32000000000005</v>
      </c>
      <c r="E145" s="21">
        <v>0</v>
      </c>
      <c r="F145" s="20">
        <v>329.38</v>
      </c>
      <c r="G145" s="13">
        <v>80.430000000000007</v>
      </c>
      <c r="H145" s="13">
        <f t="shared" si="12"/>
        <v>635.32000000000005</v>
      </c>
      <c r="I145" s="12">
        <f t="shared" si="13"/>
        <v>0.12659762009695902</v>
      </c>
      <c r="J145" s="13">
        <f>IF(OR(B145="",C145=""),"",INDEX(Ref_Frete!$B$2:$G$54,MATCH(C145,Ref_Frete!$A$2:$A$54,0),IF(B145="Pequenos",2,IF(B145="Medios",4,6))))</f>
        <v>59.9</v>
      </c>
      <c r="K145" s="13">
        <f>IF(OR(B145="",C145=""),"",INDEX(Ref_Frete!$B$2:$G$54,MATCH(C145,Ref_Frete!$A$2:$A$54,0),IF(B145="Pequenos",1,IF(B145="Medios",3,5))))</f>
        <v>89</v>
      </c>
      <c r="L145" s="13">
        <f t="shared" si="14"/>
        <v>-29.1</v>
      </c>
      <c r="M145" s="13">
        <f t="shared" si="15"/>
        <v>132.8780000000001</v>
      </c>
      <c r="N145" s="12">
        <f t="shared" si="16"/>
        <v>0.20915129383617717</v>
      </c>
      <c r="O145" s="22" t="str">
        <f t="shared" si="17"/>
        <v>ACIMA DA META (&gt;20%)</v>
      </c>
      <c r="P145" s="23"/>
    </row>
    <row r="146" spans="1:16" ht="15" customHeight="1" x14ac:dyDescent="0.25">
      <c r="A146" s="19" t="s">
        <v>152</v>
      </c>
      <c r="B146" s="19" t="s">
        <v>130</v>
      </c>
      <c r="C146" s="19" t="s">
        <v>98</v>
      </c>
      <c r="D146" s="20">
        <v>635.32000000000005</v>
      </c>
      <c r="E146" s="21">
        <v>0</v>
      </c>
      <c r="F146" s="20">
        <v>329.38</v>
      </c>
      <c r="G146" s="13">
        <v>80.430000000000007</v>
      </c>
      <c r="H146" s="13">
        <f t="shared" si="12"/>
        <v>635.32000000000005</v>
      </c>
      <c r="I146" s="12">
        <f t="shared" si="13"/>
        <v>0.12659762009695902</v>
      </c>
      <c r="J146" s="13">
        <f>IF(OR(B146="",C146=""),"",INDEX(Ref_Frete!$B$2:$G$54,MATCH(C146,Ref_Frete!$A$2:$A$54,0),IF(B146="Pequenos",2,IF(B146="Medios",4,6))))</f>
        <v>39.9</v>
      </c>
      <c r="K146" s="13">
        <f>IF(OR(B146="",C146=""),"",INDEX(Ref_Frete!$B$2:$G$54,MATCH(C146,Ref_Frete!$A$2:$A$54,0),IF(B146="Pequenos",1,IF(B146="Medios",3,5))))</f>
        <v>49</v>
      </c>
      <c r="L146" s="13">
        <f t="shared" si="14"/>
        <v>-9.1000000000000014</v>
      </c>
      <c r="M146" s="13">
        <f t="shared" si="15"/>
        <v>152.8780000000001</v>
      </c>
      <c r="N146" s="12">
        <f t="shared" si="16"/>
        <v>0.24063149279103457</v>
      </c>
      <c r="O146" s="22" t="str">
        <f t="shared" si="17"/>
        <v>ACIMA DA META (&gt;20%)</v>
      </c>
      <c r="P146" s="23"/>
    </row>
    <row r="147" spans="1:16" ht="15" hidden="1" customHeight="1" x14ac:dyDescent="0.25">
      <c r="A147" s="19" t="s">
        <v>153</v>
      </c>
      <c r="B147" s="19" t="s">
        <v>130</v>
      </c>
      <c r="C147" s="19" t="s">
        <v>97</v>
      </c>
      <c r="D147" s="20">
        <v>691.86</v>
      </c>
      <c r="E147" s="21">
        <v>0</v>
      </c>
      <c r="F147" s="20">
        <v>364.77</v>
      </c>
      <c r="G147" s="13">
        <v>87.21</v>
      </c>
      <c r="H147" s="13">
        <f t="shared" si="12"/>
        <v>691.86</v>
      </c>
      <c r="I147" s="12">
        <f t="shared" si="13"/>
        <v>0.1260515133119417</v>
      </c>
      <c r="J147" s="13">
        <f>IF(OR(B147="",C147=""),"",INDEX(Ref_Frete!$B$2:$G$54,MATCH(C147,Ref_Frete!$A$2:$A$54,0),IF(B147="Pequenos",2,IF(B147="Medios",4,6))))</f>
        <v>59.9</v>
      </c>
      <c r="K147" s="13">
        <f>IF(OR(B147="",C147=""),"",INDEX(Ref_Frete!$B$2:$G$54,MATCH(C147,Ref_Frete!$A$2:$A$54,0),IF(B147="Pequenos",1,IF(B147="Medios",3,5))))</f>
        <v>89</v>
      </c>
      <c r="L147" s="13">
        <f t="shared" si="14"/>
        <v>-29.1</v>
      </c>
      <c r="M147" s="13">
        <f t="shared" si="15"/>
        <v>141.59399999999999</v>
      </c>
      <c r="N147" s="12">
        <f t="shared" si="16"/>
        <v>0.20465701153412538</v>
      </c>
      <c r="O147" s="22" t="str">
        <f t="shared" si="17"/>
        <v>ACIMA DA META (&gt;20%)</v>
      </c>
      <c r="P147" s="23"/>
    </row>
    <row r="148" spans="1:16" ht="15" customHeight="1" x14ac:dyDescent="0.25">
      <c r="A148" s="19" t="s">
        <v>153</v>
      </c>
      <c r="B148" s="19" t="s">
        <v>130</v>
      </c>
      <c r="C148" s="19" t="s">
        <v>98</v>
      </c>
      <c r="D148" s="20">
        <v>691.86</v>
      </c>
      <c r="E148" s="21">
        <v>0</v>
      </c>
      <c r="F148" s="20">
        <v>364.77</v>
      </c>
      <c r="G148" s="13">
        <v>87.21</v>
      </c>
      <c r="H148" s="13">
        <f t="shared" si="12"/>
        <v>691.86</v>
      </c>
      <c r="I148" s="12">
        <f t="shared" si="13"/>
        <v>0.1260515133119417</v>
      </c>
      <c r="J148" s="13">
        <f>IF(OR(B148="",C148=""),"",INDEX(Ref_Frete!$B$2:$G$54,MATCH(C148,Ref_Frete!$A$2:$A$54,0),IF(B148="Pequenos",2,IF(B148="Medios",4,6))))</f>
        <v>39.9</v>
      </c>
      <c r="K148" s="13">
        <f>IF(OR(B148="",C148=""),"",INDEX(Ref_Frete!$B$2:$G$54,MATCH(C148,Ref_Frete!$A$2:$A$54,0),IF(B148="Pequenos",1,IF(B148="Medios",3,5))))</f>
        <v>49</v>
      </c>
      <c r="L148" s="13">
        <f t="shared" si="14"/>
        <v>-9.1000000000000014</v>
      </c>
      <c r="M148" s="13">
        <f t="shared" si="15"/>
        <v>161.59399999999999</v>
      </c>
      <c r="N148" s="12">
        <f t="shared" si="16"/>
        <v>0.23356459399300436</v>
      </c>
      <c r="O148" s="22" t="str">
        <f t="shared" si="17"/>
        <v>ACIMA DA META (&gt;20%)</v>
      </c>
      <c r="P148" s="23"/>
    </row>
    <row r="149" spans="1:16" ht="15" hidden="1" customHeight="1" x14ac:dyDescent="0.25">
      <c r="A149" s="19" t="s">
        <v>154</v>
      </c>
      <c r="B149" s="19" t="s">
        <v>130</v>
      </c>
      <c r="C149" s="19" t="s">
        <v>97</v>
      </c>
      <c r="D149" s="20">
        <v>380.01</v>
      </c>
      <c r="E149" s="21">
        <v>0</v>
      </c>
      <c r="F149" s="20">
        <v>194.88</v>
      </c>
      <c r="G149" s="13">
        <v>49.79</v>
      </c>
      <c r="H149" s="13">
        <f t="shared" si="12"/>
        <v>380.01</v>
      </c>
      <c r="I149" s="12">
        <f t="shared" si="13"/>
        <v>0.13102286781926792</v>
      </c>
      <c r="J149" s="13">
        <f>IF(OR(B149="",C149=""),"",INDEX(Ref_Frete!$B$2:$G$54,MATCH(C149,Ref_Frete!$A$2:$A$54,0),IF(B149="Pequenos",2,IF(B149="Medios",4,6))))</f>
        <v>59.9</v>
      </c>
      <c r="K149" s="13">
        <f>IF(OR(B149="",C149=""),"",INDEX(Ref_Frete!$B$2:$G$54,MATCH(C149,Ref_Frete!$A$2:$A$54,0),IF(B149="Pequenos",1,IF(B149="Medios",3,5))))</f>
        <v>89</v>
      </c>
      <c r="L149" s="13">
        <f t="shared" si="14"/>
        <v>-29.1</v>
      </c>
      <c r="M149" s="13">
        <f t="shared" si="15"/>
        <v>68.238999999999976</v>
      </c>
      <c r="N149" s="12">
        <f t="shared" si="16"/>
        <v>0.17957159022130992</v>
      </c>
      <c r="O149" s="22" t="str">
        <f t="shared" si="17"/>
        <v>DENTRO DA META (15-20%)</v>
      </c>
      <c r="P149" s="23"/>
    </row>
    <row r="150" spans="1:16" ht="15" customHeight="1" x14ac:dyDescent="0.25">
      <c r="A150" s="19" t="s">
        <v>154</v>
      </c>
      <c r="B150" s="19" t="s">
        <v>130</v>
      </c>
      <c r="C150" s="19" t="s">
        <v>98</v>
      </c>
      <c r="D150" s="20">
        <v>380.01</v>
      </c>
      <c r="E150" s="21">
        <v>0</v>
      </c>
      <c r="F150" s="20">
        <v>194.88</v>
      </c>
      <c r="G150" s="13">
        <v>49.79</v>
      </c>
      <c r="H150" s="13">
        <f t="shared" si="12"/>
        <v>380.01</v>
      </c>
      <c r="I150" s="12">
        <f t="shared" si="13"/>
        <v>0.13102286781926792</v>
      </c>
      <c r="J150" s="13">
        <f>IF(OR(B150="",C150=""),"",INDEX(Ref_Frete!$B$2:$G$54,MATCH(C150,Ref_Frete!$A$2:$A$54,0),IF(B150="Pequenos",2,IF(B150="Medios",4,6))))</f>
        <v>39.9</v>
      </c>
      <c r="K150" s="13">
        <f>IF(OR(B150="",C150=""),"",INDEX(Ref_Frete!$B$2:$G$54,MATCH(C150,Ref_Frete!$A$2:$A$54,0),IF(B150="Pequenos",1,IF(B150="Medios",3,5))))</f>
        <v>49</v>
      </c>
      <c r="L150" s="13">
        <f t="shared" si="14"/>
        <v>-9.1000000000000014</v>
      </c>
      <c r="M150" s="13">
        <f t="shared" si="15"/>
        <v>88.238999999999976</v>
      </c>
      <c r="N150" s="12">
        <f t="shared" si="16"/>
        <v>0.23220178416357459</v>
      </c>
      <c r="O150" s="22" t="str">
        <f t="shared" si="17"/>
        <v>ACIMA DA META (&gt;20%)</v>
      </c>
      <c r="P150" s="23"/>
    </row>
    <row r="151" spans="1:16" ht="15" hidden="1" customHeight="1" x14ac:dyDescent="0.25">
      <c r="A151" s="19" t="s">
        <v>155</v>
      </c>
      <c r="B151" s="19" t="s">
        <v>130</v>
      </c>
      <c r="C151" s="19" t="s">
        <v>97</v>
      </c>
      <c r="D151" s="20">
        <v>467.67</v>
      </c>
      <c r="E151" s="21">
        <v>0</v>
      </c>
      <c r="F151" s="20">
        <v>240.55</v>
      </c>
      <c r="G151" s="13">
        <v>60.31</v>
      </c>
      <c r="H151" s="13">
        <f t="shared" si="12"/>
        <v>467.67</v>
      </c>
      <c r="I151" s="12">
        <f t="shared" si="13"/>
        <v>0.12895845361045183</v>
      </c>
      <c r="J151" s="13">
        <f>IF(OR(B151="",C151=""),"",INDEX(Ref_Frete!$B$2:$G$54,MATCH(C151,Ref_Frete!$A$2:$A$54,0),IF(B151="Pequenos",2,IF(B151="Medios",4,6))))</f>
        <v>59.9</v>
      </c>
      <c r="K151" s="13">
        <f>IF(OR(B151="",C151=""),"",INDEX(Ref_Frete!$B$2:$G$54,MATCH(C151,Ref_Frete!$A$2:$A$54,0),IF(B151="Pequenos",1,IF(B151="Medios",3,5))))</f>
        <v>89</v>
      </c>
      <c r="L151" s="13">
        <f t="shared" si="14"/>
        <v>-29.1</v>
      </c>
      <c r="M151" s="13">
        <f t="shared" si="15"/>
        <v>90.943000000000012</v>
      </c>
      <c r="N151" s="12">
        <f t="shared" si="16"/>
        <v>0.19445976864028056</v>
      </c>
      <c r="O151" s="22" t="str">
        <f t="shared" si="17"/>
        <v>DENTRO DA META (15-20%)</v>
      </c>
      <c r="P151" s="23"/>
    </row>
    <row r="152" spans="1:16" ht="15" customHeight="1" x14ac:dyDescent="0.25">
      <c r="A152" s="19" t="s">
        <v>155</v>
      </c>
      <c r="B152" s="19" t="s">
        <v>130</v>
      </c>
      <c r="C152" s="19" t="s">
        <v>98</v>
      </c>
      <c r="D152" s="20">
        <v>467.67</v>
      </c>
      <c r="E152" s="21">
        <v>0</v>
      </c>
      <c r="F152" s="20">
        <v>240.55</v>
      </c>
      <c r="G152" s="13">
        <v>60.31</v>
      </c>
      <c r="H152" s="13">
        <f t="shared" si="12"/>
        <v>467.67</v>
      </c>
      <c r="I152" s="12">
        <f t="shared" si="13"/>
        <v>0.12895845361045183</v>
      </c>
      <c r="J152" s="13">
        <f>IF(OR(B152="",C152=""),"",INDEX(Ref_Frete!$B$2:$G$54,MATCH(C152,Ref_Frete!$A$2:$A$54,0),IF(B152="Pequenos",2,IF(B152="Medios",4,6))))</f>
        <v>39.9</v>
      </c>
      <c r="K152" s="13">
        <f>IF(OR(B152="",C152=""),"",INDEX(Ref_Frete!$B$2:$G$54,MATCH(C152,Ref_Frete!$A$2:$A$54,0),IF(B152="Pequenos",1,IF(B152="Medios",3,5))))</f>
        <v>49</v>
      </c>
      <c r="L152" s="13">
        <f t="shared" si="14"/>
        <v>-9.1000000000000014</v>
      </c>
      <c r="M152" s="13">
        <f t="shared" si="15"/>
        <v>110.94300000000001</v>
      </c>
      <c r="N152" s="12">
        <f t="shared" si="16"/>
        <v>0.23722496632240683</v>
      </c>
      <c r="O152" s="22" t="str">
        <f t="shared" si="17"/>
        <v>ACIMA DA META (&gt;20%)</v>
      </c>
      <c r="P152" s="23"/>
    </row>
    <row r="153" spans="1:16" ht="15" hidden="1" customHeight="1" x14ac:dyDescent="0.25">
      <c r="A153" s="19" t="s">
        <v>156</v>
      </c>
      <c r="B153" s="19" t="s">
        <v>130</v>
      </c>
      <c r="C153" s="19" t="s">
        <v>97</v>
      </c>
      <c r="D153" s="20">
        <v>623.5</v>
      </c>
      <c r="E153" s="21">
        <v>0</v>
      </c>
      <c r="F153" s="20">
        <v>345.63</v>
      </c>
      <c r="G153" s="13">
        <v>79.010000000000005</v>
      </c>
      <c r="H153" s="13">
        <f t="shared" si="12"/>
        <v>623.5</v>
      </c>
      <c r="I153" s="12">
        <f t="shared" si="13"/>
        <v>0.12672012830793905</v>
      </c>
      <c r="J153" s="13">
        <f>IF(OR(B153="",C153=""),"",INDEX(Ref_Frete!$B$2:$G$54,MATCH(C153,Ref_Frete!$A$2:$A$54,0),IF(B153="Pequenos",2,IF(B153="Medios",4,6))))</f>
        <v>59.9</v>
      </c>
      <c r="K153" s="13">
        <f>IF(OR(B153="",C153=""),"",INDEX(Ref_Frete!$B$2:$G$54,MATCH(C153,Ref_Frete!$A$2:$A$54,0),IF(B153="Pequenos",1,IF(B153="Medios",3,5))))</f>
        <v>89</v>
      </c>
      <c r="L153" s="13">
        <f t="shared" si="14"/>
        <v>-29.1</v>
      </c>
      <c r="M153" s="13">
        <f t="shared" si="15"/>
        <v>107.41000000000003</v>
      </c>
      <c r="N153" s="12">
        <f t="shared" si="16"/>
        <v>0.17226944667201288</v>
      </c>
      <c r="O153" s="22" t="str">
        <f t="shared" si="17"/>
        <v>DENTRO DA META (15-20%)</v>
      </c>
      <c r="P153" s="23"/>
    </row>
    <row r="154" spans="1:16" ht="15" customHeight="1" x14ac:dyDescent="0.25">
      <c r="A154" s="19" t="s">
        <v>156</v>
      </c>
      <c r="B154" s="19" t="s">
        <v>130</v>
      </c>
      <c r="C154" s="19" t="s">
        <v>98</v>
      </c>
      <c r="D154" s="20">
        <v>623.5</v>
      </c>
      <c r="E154" s="21">
        <v>0</v>
      </c>
      <c r="F154" s="20">
        <v>345.63</v>
      </c>
      <c r="G154" s="13">
        <v>79.010000000000005</v>
      </c>
      <c r="H154" s="13">
        <f t="shared" si="12"/>
        <v>623.5</v>
      </c>
      <c r="I154" s="12">
        <f t="shared" si="13"/>
        <v>0.12672012830793905</v>
      </c>
      <c r="J154" s="13">
        <f>IF(OR(B154="",C154=""),"",INDEX(Ref_Frete!$B$2:$G$54,MATCH(C154,Ref_Frete!$A$2:$A$54,0),IF(B154="Pequenos",2,IF(B154="Medios",4,6))))</f>
        <v>39.9</v>
      </c>
      <c r="K154" s="13">
        <f>IF(OR(B154="",C154=""),"",INDEX(Ref_Frete!$B$2:$G$54,MATCH(C154,Ref_Frete!$A$2:$A$54,0),IF(B154="Pequenos",1,IF(B154="Medios",3,5))))</f>
        <v>49</v>
      </c>
      <c r="L154" s="13">
        <f t="shared" si="14"/>
        <v>-9.1000000000000014</v>
      </c>
      <c r="M154" s="13">
        <f t="shared" si="15"/>
        <v>127.41000000000003</v>
      </c>
      <c r="N154" s="12">
        <f t="shared" si="16"/>
        <v>0.20434643143544512</v>
      </c>
      <c r="O154" s="22" t="str">
        <f t="shared" si="17"/>
        <v>ACIMA DA META (&gt;20%)</v>
      </c>
      <c r="P154" s="23"/>
    </row>
    <row r="155" spans="1:16" ht="15" hidden="1" customHeight="1" x14ac:dyDescent="0.25">
      <c r="A155" s="19" t="s">
        <v>52</v>
      </c>
      <c r="B155" s="19" t="s">
        <v>130</v>
      </c>
      <c r="C155" s="19" t="s">
        <v>97</v>
      </c>
      <c r="D155" s="20">
        <v>511.42</v>
      </c>
      <c r="E155" s="21">
        <v>0</v>
      </c>
      <c r="F155" s="20">
        <v>242.26</v>
      </c>
      <c r="G155" s="13">
        <v>65.56</v>
      </c>
      <c r="H155" s="13">
        <f t="shared" si="12"/>
        <v>511.42</v>
      </c>
      <c r="I155" s="12">
        <f t="shared" si="13"/>
        <v>0.128192092604904</v>
      </c>
      <c r="J155" s="13">
        <f>IF(OR(B155="",C155=""),"",INDEX(Ref_Frete!$B$2:$G$54,MATCH(C155,Ref_Frete!$A$2:$A$54,0),IF(B155="Pequenos",2,IF(B155="Medios",4,6))))</f>
        <v>59.9</v>
      </c>
      <c r="K155" s="13">
        <f>IF(OR(B155="",C155=""),"",INDEX(Ref_Frete!$B$2:$G$54,MATCH(C155,Ref_Frete!$A$2:$A$54,0),IF(B155="Pequenos",1,IF(B155="Medios",3,5))))</f>
        <v>89</v>
      </c>
      <c r="L155" s="13">
        <f t="shared" si="14"/>
        <v>-29.1</v>
      </c>
      <c r="M155" s="13">
        <f t="shared" si="15"/>
        <v>123.35800000000003</v>
      </c>
      <c r="N155" s="12">
        <f t="shared" si="16"/>
        <v>0.24120683586875763</v>
      </c>
      <c r="O155" s="22" t="str">
        <f t="shared" si="17"/>
        <v>ACIMA DA META (&gt;20%)</v>
      </c>
      <c r="P155" s="23"/>
    </row>
    <row r="156" spans="1:16" ht="15" customHeight="1" x14ac:dyDescent="0.25">
      <c r="A156" s="19" t="s">
        <v>52</v>
      </c>
      <c r="B156" s="19" t="s">
        <v>130</v>
      </c>
      <c r="C156" s="19" t="s">
        <v>98</v>
      </c>
      <c r="D156" s="20">
        <v>511.42</v>
      </c>
      <c r="E156" s="21">
        <v>0</v>
      </c>
      <c r="F156" s="20">
        <v>242.26</v>
      </c>
      <c r="G156" s="13">
        <v>65.56</v>
      </c>
      <c r="H156" s="13">
        <f t="shared" si="12"/>
        <v>511.42</v>
      </c>
      <c r="I156" s="12">
        <f t="shared" si="13"/>
        <v>0.128192092604904</v>
      </c>
      <c r="J156" s="13">
        <f>IF(OR(B156="",C156=""),"",INDEX(Ref_Frete!$B$2:$G$54,MATCH(C156,Ref_Frete!$A$2:$A$54,0),IF(B156="Pequenos",2,IF(B156="Medios",4,6))))</f>
        <v>39.9</v>
      </c>
      <c r="K156" s="13">
        <f>IF(OR(B156="",C156=""),"",INDEX(Ref_Frete!$B$2:$G$54,MATCH(C156,Ref_Frete!$A$2:$A$54,0),IF(B156="Pequenos",1,IF(B156="Medios",3,5))))</f>
        <v>49</v>
      </c>
      <c r="L156" s="13">
        <f t="shared" si="14"/>
        <v>-9.1000000000000014</v>
      </c>
      <c r="M156" s="13">
        <f t="shared" si="15"/>
        <v>143.35800000000003</v>
      </c>
      <c r="N156" s="12">
        <f t="shared" si="16"/>
        <v>0.28031363654139463</v>
      </c>
      <c r="O156" s="22" t="str">
        <f t="shared" si="17"/>
        <v>ACIMA DA META (&gt;20%)</v>
      </c>
      <c r="P156" s="23"/>
    </row>
    <row r="157" spans="1:16" ht="15" hidden="1" customHeight="1" x14ac:dyDescent="0.25">
      <c r="A157" s="19" t="s">
        <v>157</v>
      </c>
      <c r="B157" s="19" t="s">
        <v>130</v>
      </c>
      <c r="C157" s="19" t="s">
        <v>97</v>
      </c>
      <c r="D157" s="20">
        <v>629.08000000000004</v>
      </c>
      <c r="E157" s="21">
        <v>0</v>
      </c>
      <c r="F157" s="20">
        <v>347.99</v>
      </c>
      <c r="G157" s="13">
        <v>79.58</v>
      </c>
      <c r="H157" s="13">
        <f t="shared" si="12"/>
        <v>629.08000000000004</v>
      </c>
      <c r="I157" s="12">
        <f t="shared" si="13"/>
        <v>0.12650219367965918</v>
      </c>
      <c r="J157" s="13">
        <f>IF(OR(B157="",C157=""),"",INDEX(Ref_Frete!$B$2:$G$54,MATCH(C157,Ref_Frete!$A$2:$A$54,0),IF(B157="Pequenos",2,IF(B157="Medios",4,6))))</f>
        <v>59.9</v>
      </c>
      <c r="K157" s="13">
        <f>IF(OR(B157="",C157=""),"",INDEX(Ref_Frete!$B$2:$G$54,MATCH(C157,Ref_Frete!$A$2:$A$54,0),IF(B157="Pequenos",1,IF(B157="Medios",3,5))))</f>
        <v>89</v>
      </c>
      <c r="L157" s="13">
        <f t="shared" si="14"/>
        <v>-29.1</v>
      </c>
      <c r="M157" s="13">
        <f t="shared" si="15"/>
        <v>109.50199999999998</v>
      </c>
      <c r="N157" s="12">
        <f t="shared" si="16"/>
        <v>0.17406689133337569</v>
      </c>
      <c r="O157" s="22" t="str">
        <f t="shared" si="17"/>
        <v>DENTRO DA META (15-20%)</v>
      </c>
      <c r="P157" s="23"/>
    </row>
    <row r="158" spans="1:16" ht="15" customHeight="1" x14ac:dyDescent="0.25">
      <c r="A158" s="19" t="s">
        <v>157</v>
      </c>
      <c r="B158" s="19" t="s">
        <v>130</v>
      </c>
      <c r="C158" s="19" t="s">
        <v>98</v>
      </c>
      <c r="D158" s="20">
        <v>629.08000000000004</v>
      </c>
      <c r="E158" s="21">
        <v>0</v>
      </c>
      <c r="F158" s="20">
        <v>347.99</v>
      </c>
      <c r="G158" s="13">
        <v>79.58</v>
      </c>
      <c r="H158" s="13">
        <f t="shared" si="12"/>
        <v>629.08000000000004</v>
      </c>
      <c r="I158" s="12">
        <f t="shared" si="13"/>
        <v>0.12650219367965918</v>
      </c>
      <c r="J158" s="13">
        <f>IF(OR(B158="",C158=""),"",INDEX(Ref_Frete!$B$2:$G$54,MATCH(C158,Ref_Frete!$A$2:$A$54,0),IF(B158="Pequenos",2,IF(B158="Medios",4,6))))</f>
        <v>39.9</v>
      </c>
      <c r="K158" s="13">
        <f>IF(OR(B158="",C158=""),"",INDEX(Ref_Frete!$B$2:$G$54,MATCH(C158,Ref_Frete!$A$2:$A$54,0),IF(B158="Pequenos",1,IF(B158="Medios",3,5))))</f>
        <v>49</v>
      </c>
      <c r="L158" s="13">
        <f t="shared" si="14"/>
        <v>-9.1000000000000014</v>
      </c>
      <c r="M158" s="13">
        <f t="shared" si="15"/>
        <v>129.50199999999998</v>
      </c>
      <c r="N158" s="12">
        <f t="shared" si="16"/>
        <v>0.20585935016214149</v>
      </c>
      <c r="O158" s="22" t="str">
        <f t="shared" si="17"/>
        <v>ACIMA DA META (&gt;20%)</v>
      </c>
      <c r="P158" s="23"/>
    </row>
    <row r="159" spans="1:16" ht="15" hidden="1" customHeight="1" x14ac:dyDescent="0.25">
      <c r="A159" s="19" t="s">
        <v>57</v>
      </c>
      <c r="B159" s="19" t="s">
        <v>130</v>
      </c>
      <c r="C159" s="19" t="s">
        <v>97</v>
      </c>
      <c r="D159" s="20">
        <v>616.17999999999995</v>
      </c>
      <c r="E159" s="21">
        <v>0</v>
      </c>
      <c r="F159" s="20">
        <v>307.26</v>
      </c>
      <c r="G159" s="13">
        <v>78.13</v>
      </c>
      <c r="H159" s="13">
        <f t="shared" si="12"/>
        <v>616.17999999999995</v>
      </c>
      <c r="I159" s="12">
        <f t="shared" si="13"/>
        <v>0.1267973644065046</v>
      </c>
      <c r="J159" s="13">
        <f>IF(OR(B159="",C159=""),"",INDEX(Ref_Frete!$B$2:$G$54,MATCH(C159,Ref_Frete!$A$2:$A$54,0),IF(B159="Pequenos",2,IF(B159="Medios",4,6))))</f>
        <v>59.9</v>
      </c>
      <c r="K159" s="13">
        <f>IF(OR(B159="",C159=""),"",INDEX(Ref_Frete!$B$2:$G$54,MATCH(C159,Ref_Frete!$A$2:$A$54,0),IF(B159="Pequenos",1,IF(B159="Medios",3,5))))</f>
        <v>89</v>
      </c>
      <c r="L159" s="13">
        <f t="shared" si="14"/>
        <v>-29.1</v>
      </c>
      <c r="M159" s="13">
        <f t="shared" si="15"/>
        <v>140.07199999999997</v>
      </c>
      <c r="N159" s="12">
        <f t="shared" si="16"/>
        <v>0.22732318478366709</v>
      </c>
      <c r="O159" s="22" t="str">
        <f t="shared" si="17"/>
        <v>ACIMA DA META (&gt;20%)</v>
      </c>
      <c r="P159" s="23"/>
    </row>
    <row r="160" spans="1:16" ht="15" customHeight="1" x14ac:dyDescent="0.25">
      <c r="A160" s="19" t="s">
        <v>57</v>
      </c>
      <c r="B160" s="19" t="s">
        <v>130</v>
      </c>
      <c r="C160" s="19" t="s">
        <v>98</v>
      </c>
      <c r="D160" s="20">
        <v>616.17999999999995</v>
      </c>
      <c r="E160" s="21">
        <v>0</v>
      </c>
      <c r="F160" s="20">
        <v>307.26</v>
      </c>
      <c r="G160" s="13">
        <v>78.13</v>
      </c>
      <c r="H160" s="13">
        <f t="shared" si="12"/>
        <v>616.17999999999995</v>
      </c>
      <c r="I160" s="12">
        <f t="shared" si="13"/>
        <v>0.1267973644065046</v>
      </c>
      <c r="J160" s="13">
        <f>IF(OR(B160="",C160=""),"",INDEX(Ref_Frete!$B$2:$G$54,MATCH(C160,Ref_Frete!$A$2:$A$54,0),IF(B160="Pequenos",2,IF(B160="Medios",4,6))))</f>
        <v>39.9</v>
      </c>
      <c r="K160" s="13">
        <f>IF(OR(B160="",C160=""),"",INDEX(Ref_Frete!$B$2:$G$54,MATCH(C160,Ref_Frete!$A$2:$A$54,0),IF(B160="Pequenos",1,IF(B160="Medios",3,5))))</f>
        <v>49</v>
      </c>
      <c r="L160" s="13">
        <f t="shared" si="14"/>
        <v>-9.1000000000000014</v>
      </c>
      <c r="M160" s="13">
        <f t="shared" si="15"/>
        <v>160.07199999999997</v>
      </c>
      <c r="N160" s="12">
        <f t="shared" si="16"/>
        <v>0.25978123275666198</v>
      </c>
      <c r="O160" s="22" t="str">
        <f t="shared" si="17"/>
        <v>ACIMA DA META (&gt;20%)</v>
      </c>
      <c r="P160" s="23"/>
    </row>
    <row r="161" spans="1:16" ht="15" hidden="1" customHeight="1" x14ac:dyDescent="0.25">
      <c r="A161" s="19" t="s">
        <v>56</v>
      </c>
      <c r="B161" s="19" t="s">
        <v>130</v>
      </c>
      <c r="C161" s="19" t="s">
        <v>97</v>
      </c>
      <c r="D161" s="20">
        <v>840.63</v>
      </c>
      <c r="E161" s="21">
        <v>0</v>
      </c>
      <c r="F161" s="20">
        <v>421.92</v>
      </c>
      <c r="G161" s="13">
        <v>105.06</v>
      </c>
      <c r="H161" s="13">
        <f t="shared" si="12"/>
        <v>840.63</v>
      </c>
      <c r="I161" s="12">
        <f t="shared" si="13"/>
        <v>0.1249776952999536</v>
      </c>
      <c r="J161" s="13">
        <f>IF(OR(B161="",C161=""),"",INDEX(Ref_Frete!$B$2:$G$54,MATCH(C161,Ref_Frete!$A$2:$A$54,0),IF(B161="Pequenos",2,IF(B161="Medios",4,6))))</f>
        <v>59.9</v>
      </c>
      <c r="K161" s="13">
        <f>IF(OR(B161="",C161=""),"",INDEX(Ref_Frete!$B$2:$G$54,MATCH(C161,Ref_Frete!$A$2:$A$54,0),IF(B161="Pequenos",1,IF(B161="Medios",3,5))))</f>
        <v>89</v>
      </c>
      <c r="L161" s="13">
        <f t="shared" si="14"/>
        <v>-29.1</v>
      </c>
      <c r="M161" s="13">
        <f t="shared" si="15"/>
        <v>200.48699999999994</v>
      </c>
      <c r="N161" s="12">
        <f t="shared" si="16"/>
        <v>0.23849612790407188</v>
      </c>
      <c r="O161" s="22" t="str">
        <f t="shared" si="17"/>
        <v>ACIMA DA META (&gt;20%)</v>
      </c>
      <c r="P161" s="23"/>
    </row>
    <row r="162" spans="1:16" ht="15" customHeight="1" x14ac:dyDescent="0.25">
      <c r="A162" s="19" t="s">
        <v>56</v>
      </c>
      <c r="B162" s="19" t="s">
        <v>130</v>
      </c>
      <c r="C162" s="19" t="s">
        <v>98</v>
      </c>
      <c r="D162" s="20">
        <v>840.63</v>
      </c>
      <c r="E162" s="21">
        <v>0</v>
      </c>
      <c r="F162" s="20">
        <v>421.92</v>
      </c>
      <c r="G162" s="13">
        <v>105.06</v>
      </c>
      <c r="H162" s="13">
        <f t="shared" si="12"/>
        <v>840.63</v>
      </c>
      <c r="I162" s="12">
        <f t="shared" si="13"/>
        <v>0.1249776952999536</v>
      </c>
      <c r="J162" s="13">
        <f>IF(OR(B162="",C162=""),"",INDEX(Ref_Frete!$B$2:$G$54,MATCH(C162,Ref_Frete!$A$2:$A$54,0),IF(B162="Pequenos",2,IF(B162="Medios",4,6))))</f>
        <v>39.9</v>
      </c>
      <c r="K162" s="13">
        <f>IF(OR(B162="",C162=""),"",INDEX(Ref_Frete!$B$2:$G$54,MATCH(C162,Ref_Frete!$A$2:$A$54,0),IF(B162="Pequenos",1,IF(B162="Medios",3,5))))</f>
        <v>49</v>
      </c>
      <c r="L162" s="13">
        <f t="shared" si="14"/>
        <v>-9.1000000000000014</v>
      </c>
      <c r="M162" s="13">
        <f t="shared" si="15"/>
        <v>220.48699999999994</v>
      </c>
      <c r="N162" s="12">
        <f t="shared" si="16"/>
        <v>0.26228780795355855</v>
      </c>
      <c r="O162" s="22" t="str">
        <f t="shared" si="17"/>
        <v>ACIMA DA META (&gt;20%)</v>
      </c>
      <c r="P162" s="23"/>
    </row>
    <row r="163" spans="1:16" ht="15" hidden="1" customHeight="1" x14ac:dyDescent="0.25">
      <c r="A163" s="19" t="s">
        <v>158</v>
      </c>
      <c r="B163" s="19" t="s">
        <v>130</v>
      </c>
      <c r="C163" s="19" t="s">
        <v>97</v>
      </c>
      <c r="D163" s="20">
        <v>701.76</v>
      </c>
      <c r="E163" s="21">
        <v>0</v>
      </c>
      <c r="F163" s="20">
        <v>374.18</v>
      </c>
      <c r="G163" s="13">
        <v>88.4</v>
      </c>
      <c r="H163" s="13">
        <f t="shared" si="12"/>
        <v>701.76</v>
      </c>
      <c r="I163" s="12">
        <f t="shared" si="13"/>
        <v>0.12596899224806202</v>
      </c>
      <c r="J163" s="13">
        <f>IF(OR(B163="",C163=""),"",INDEX(Ref_Frete!$B$2:$G$54,MATCH(C163,Ref_Frete!$A$2:$A$54,0),IF(B163="Pequenos",2,IF(B163="Medios",4,6))))</f>
        <v>59.9</v>
      </c>
      <c r="K163" s="13">
        <f>IF(OR(B163="",C163=""),"",INDEX(Ref_Frete!$B$2:$G$54,MATCH(C163,Ref_Frete!$A$2:$A$54,0),IF(B163="Pequenos",1,IF(B163="Medios",3,5))))</f>
        <v>89</v>
      </c>
      <c r="L163" s="13">
        <f t="shared" si="14"/>
        <v>-29.1</v>
      </c>
      <c r="M163" s="13">
        <f t="shared" si="15"/>
        <v>139.90400000000002</v>
      </c>
      <c r="N163" s="12">
        <f t="shared" si="16"/>
        <v>0.19936160510715917</v>
      </c>
      <c r="O163" s="22" t="str">
        <f t="shared" si="17"/>
        <v>DENTRO DA META (15-20%)</v>
      </c>
      <c r="P163" s="23"/>
    </row>
    <row r="164" spans="1:16" ht="15" customHeight="1" x14ac:dyDescent="0.25">
      <c r="A164" s="19" t="s">
        <v>158</v>
      </c>
      <c r="B164" s="19" t="s">
        <v>130</v>
      </c>
      <c r="C164" s="19" t="s">
        <v>98</v>
      </c>
      <c r="D164" s="20">
        <v>701.76</v>
      </c>
      <c r="E164" s="21">
        <v>0</v>
      </c>
      <c r="F164" s="20">
        <v>374.18</v>
      </c>
      <c r="G164" s="13">
        <v>88.4</v>
      </c>
      <c r="H164" s="13">
        <f t="shared" si="12"/>
        <v>701.76</v>
      </c>
      <c r="I164" s="12">
        <f t="shared" si="13"/>
        <v>0.12596899224806202</v>
      </c>
      <c r="J164" s="13">
        <f>IF(OR(B164="",C164=""),"",INDEX(Ref_Frete!$B$2:$G$54,MATCH(C164,Ref_Frete!$A$2:$A$54,0),IF(B164="Pequenos",2,IF(B164="Medios",4,6))))</f>
        <v>39.9</v>
      </c>
      <c r="K164" s="13">
        <f>IF(OR(B164="",C164=""),"",INDEX(Ref_Frete!$B$2:$G$54,MATCH(C164,Ref_Frete!$A$2:$A$54,0),IF(B164="Pequenos",1,IF(B164="Medios",3,5))))</f>
        <v>49</v>
      </c>
      <c r="L164" s="13">
        <f t="shared" si="14"/>
        <v>-9.1000000000000014</v>
      </c>
      <c r="M164" s="13">
        <f t="shared" si="15"/>
        <v>159.90400000000002</v>
      </c>
      <c r="N164" s="12">
        <f t="shared" si="16"/>
        <v>0.22786137710898316</v>
      </c>
      <c r="O164" s="22" t="str">
        <f t="shared" si="17"/>
        <v>ACIMA DA META (&gt;20%)</v>
      </c>
      <c r="P164" s="23"/>
    </row>
    <row r="165" spans="1:16" ht="15" hidden="1" customHeight="1" x14ac:dyDescent="0.25">
      <c r="A165" s="19" t="s">
        <v>159</v>
      </c>
      <c r="B165" s="19" t="s">
        <v>130</v>
      </c>
      <c r="C165" s="19" t="s">
        <v>97</v>
      </c>
      <c r="D165" s="20">
        <v>912.46</v>
      </c>
      <c r="E165" s="21">
        <v>0</v>
      </c>
      <c r="F165" s="20">
        <v>485.02</v>
      </c>
      <c r="G165" s="13">
        <v>113.68</v>
      </c>
      <c r="H165" s="13">
        <f t="shared" si="12"/>
        <v>912.46</v>
      </c>
      <c r="I165" s="12">
        <f t="shared" si="13"/>
        <v>0.12458628323433356</v>
      </c>
      <c r="J165" s="13">
        <f>IF(OR(B165="",C165=""),"",INDEX(Ref_Frete!$B$2:$G$54,MATCH(C165,Ref_Frete!$A$2:$A$54,0),IF(B165="Pequenos",2,IF(B165="Medios",4,6))))</f>
        <v>59.9</v>
      </c>
      <c r="K165" s="13">
        <f>IF(OR(B165="",C165=""),"",INDEX(Ref_Frete!$B$2:$G$54,MATCH(C165,Ref_Frete!$A$2:$A$54,0),IF(B165="Pequenos",1,IF(B165="Medios",3,5))))</f>
        <v>89</v>
      </c>
      <c r="L165" s="13">
        <f t="shared" si="14"/>
        <v>-29.1</v>
      </c>
      <c r="M165" s="13">
        <f t="shared" si="15"/>
        <v>193.41399999999999</v>
      </c>
      <c r="N165" s="12">
        <f t="shared" si="16"/>
        <v>0.21196983977379827</v>
      </c>
      <c r="O165" s="22" t="str">
        <f t="shared" si="17"/>
        <v>ACIMA DA META (&gt;20%)</v>
      </c>
      <c r="P165" s="23"/>
    </row>
    <row r="166" spans="1:16" ht="15" customHeight="1" x14ac:dyDescent="0.25">
      <c r="A166" s="19" t="s">
        <v>159</v>
      </c>
      <c r="B166" s="19" t="s">
        <v>130</v>
      </c>
      <c r="C166" s="19" t="s">
        <v>98</v>
      </c>
      <c r="D166" s="20">
        <v>912.46</v>
      </c>
      <c r="E166" s="21">
        <v>0</v>
      </c>
      <c r="F166" s="20">
        <v>485.02</v>
      </c>
      <c r="G166" s="13">
        <v>113.68</v>
      </c>
      <c r="H166" s="13">
        <f t="shared" si="12"/>
        <v>912.46</v>
      </c>
      <c r="I166" s="12">
        <f t="shared" si="13"/>
        <v>0.12458628323433356</v>
      </c>
      <c r="J166" s="13">
        <f>IF(OR(B166="",C166=""),"",INDEX(Ref_Frete!$B$2:$G$54,MATCH(C166,Ref_Frete!$A$2:$A$54,0),IF(B166="Pequenos",2,IF(B166="Medios",4,6))))</f>
        <v>39.9</v>
      </c>
      <c r="K166" s="13">
        <f>IF(OR(B166="",C166=""),"",INDEX(Ref_Frete!$B$2:$G$54,MATCH(C166,Ref_Frete!$A$2:$A$54,0),IF(B166="Pequenos",1,IF(B166="Medios",3,5))))</f>
        <v>49</v>
      </c>
      <c r="L166" s="13">
        <f t="shared" si="14"/>
        <v>-9.1000000000000014</v>
      </c>
      <c r="M166" s="13">
        <f t="shared" si="15"/>
        <v>213.41399999999999</v>
      </c>
      <c r="N166" s="12">
        <f t="shared" si="16"/>
        <v>0.2338886088157289</v>
      </c>
      <c r="O166" s="22" t="str">
        <f t="shared" si="17"/>
        <v>ACIMA DA META (&gt;20%)</v>
      </c>
      <c r="P166" s="23"/>
    </row>
    <row r="167" spans="1:16" ht="15" hidden="1" customHeight="1" x14ac:dyDescent="0.25">
      <c r="A167" s="19" t="s">
        <v>58</v>
      </c>
      <c r="B167" s="19" t="s">
        <v>130</v>
      </c>
      <c r="C167" s="19" t="s">
        <v>97</v>
      </c>
      <c r="D167" s="20">
        <v>811.94</v>
      </c>
      <c r="E167" s="21">
        <v>0</v>
      </c>
      <c r="F167" s="20">
        <v>411.2</v>
      </c>
      <c r="G167" s="13">
        <v>101.62</v>
      </c>
      <c r="H167" s="13">
        <f t="shared" si="12"/>
        <v>811.94</v>
      </c>
      <c r="I167" s="12">
        <f t="shared" si="13"/>
        <v>0.12515703130773209</v>
      </c>
      <c r="J167" s="13">
        <f>IF(OR(B167="",C167=""),"",INDEX(Ref_Frete!$B$2:$G$54,MATCH(C167,Ref_Frete!$A$2:$A$54,0),IF(B167="Pequenos",2,IF(B167="Medios",4,6))))</f>
        <v>59.9</v>
      </c>
      <c r="K167" s="13">
        <f>IF(OR(B167="",C167=""),"",INDEX(Ref_Frete!$B$2:$G$54,MATCH(C167,Ref_Frete!$A$2:$A$54,0),IF(B167="Pequenos",1,IF(B167="Medios",3,5))))</f>
        <v>89</v>
      </c>
      <c r="L167" s="13">
        <f t="shared" si="14"/>
        <v>-29.1</v>
      </c>
      <c r="M167" s="13">
        <f t="shared" si="15"/>
        <v>188.82600000000005</v>
      </c>
      <c r="N167" s="12">
        <f t="shared" si="16"/>
        <v>0.23256151932408803</v>
      </c>
      <c r="O167" s="22" t="str">
        <f t="shared" si="17"/>
        <v>ACIMA DA META (&gt;20%)</v>
      </c>
      <c r="P167" s="23"/>
    </row>
    <row r="168" spans="1:16" ht="15" customHeight="1" x14ac:dyDescent="0.25">
      <c r="A168" s="19" t="s">
        <v>58</v>
      </c>
      <c r="B168" s="19" t="s">
        <v>130</v>
      </c>
      <c r="C168" s="19" t="s">
        <v>98</v>
      </c>
      <c r="D168" s="20">
        <v>811.94</v>
      </c>
      <c r="E168" s="21">
        <v>0</v>
      </c>
      <c r="F168" s="20">
        <v>411.2</v>
      </c>
      <c r="G168" s="13">
        <v>101.62</v>
      </c>
      <c r="H168" s="13">
        <f t="shared" si="12"/>
        <v>811.94</v>
      </c>
      <c r="I168" s="12">
        <f t="shared" si="13"/>
        <v>0.12515703130773209</v>
      </c>
      <c r="J168" s="13">
        <f>IF(OR(B168="",C168=""),"",INDEX(Ref_Frete!$B$2:$G$54,MATCH(C168,Ref_Frete!$A$2:$A$54,0),IF(B168="Pequenos",2,IF(B168="Medios",4,6))))</f>
        <v>39.9</v>
      </c>
      <c r="K168" s="13">
        <f>IF(OR(B168="",C168=""),"",INDEX(Ref_Frete!$B$2:$G$54,MATCH(C168,Ref_Frete!$A$2:$A$54,0),IF(B168="Pequenos",1,IF(B168="Medios",3,5))))</f>
        <v>49</v>
      </c>
      <c r="L168" s="13">
        <f t="shared" si="14"/>
        <v>-9.1000000000000014</v>
      </c>
      <c r="M168" s="13">
        <f t="shared" si="15"/>
        <v>208.82600000000005</v>
      </c>
      <c r="N168" s="12">
        <f t="shared" si="16"/>
        <v>0.25719388132127996</v>
      </c>
      <c r="O168" s="22" t="str">
        <f t="shared" si="17"/>
        <v>ACIMA DA META (&gt;20%)</v>
      </c>
      <c r="P168" s="23"/>
    </row>
    <row r="169" spans="1:16" ht="15" hidden="1" customHeight="1" x14ac:dyDescent="0.25">
      <c r="A169" s="19" t="s">
        <v>160</v>
      </c>
      <c r="B169" s="19" t="s">
        <v>130</v>
      </c>
      <c r="C169" s="19" t="s">
        <v>97</v>
      </c>
      <c r="D169" s="20">
        <v>988.28</v>
      </c>
      <c r="E169" s="21">
        <v>0</v>
      </c>
      <c r="F169" s="20">
        <v>527.41</v>
      </c>
      <c r="G169" s="13">
        <v>122.78</v>
      </c>
      <c r="H169" s="13">
        <f t="shared" si="12"/>
        <v>988.28</v>
      </c>
      <c r="I169" s="12">
        <f t="shared" si="13"/>
        <v>0.12423604646456471</v>
      </c>
      <c r="J169" s="13">
        <f>IF(OR(B169="",C169=""),"",INDEX(Ref_Frete!$B$2:$G$54,MATCH(C169,Ref_Frete!$A$2:$A$54,0),IF(B169="Pequenos",2,IF(B169="Medios",4,6))))</f>
        <v>59.9</v>
      </c>
      <c r="K169" s="13">
        <f>IF(OR(B169="",C169=""),"",INDEX(Ref_Frete!$B$2:$G$54,MATCH(C169,Ref_Frete!$A$2:$A$54,0),IF(B169="Pequenos",1,IF(B169="Medios",3,5))))</f>
        <v>89</v>
      </c>
      <c r="L169" s="13">
        <f t="shared" si="14"/>
        <v>-29.1</v>
      </c>
      <c r="M169" s="13">
        <f t="shared" si="15"/>
        <v>210.16200000000003</v>
      </c>
      <c r="N169" s="12">
        <f t="shared" si="16"/>
        <v>0.2126543084955681</v>
      </c>
      <c r="O169" s="22" t="str">
        <f t="shared" si="17"/>
        <v>ACIMA DA META (&gt;20%)</v>
      </c>
      <c r="P169" s="23"/>
    </row>
    <row r="170" spans="1:16" ht="15" customHeight="1" x14ac:dyDescent="0.25">
      <c r="A170" s="19" t="s">
        <v>160</v>
      </c>
      <c r="B170" s="19" t="s">
        <v>130</v>
      </c>
      <c r="C170" s="19" t="s">
        <v>98</v>
      </c>
      <c r="D170" s="20">
        <v>988.28</v>
      </c>
      <c r="E170" s="21">
        <v>0</v>
      </c>
      <c r="F170" s="20">
        <v>527.41</v>
      </c>
      <c r="G170" s="13">
        <v>122.78</v>
      </c>
      <c r="H170" s="13">
        <f t="shared" si="12"/>
        <v>988.28</v>
      </c>
      <c r="I170" s="12">
        <f t="shared" si="13"/>
        <v>0.12423604646456471</v>
      </c>
      <c r="J170" s="13">
        <f>IF(OR(B170="",C170=""),"",INDEX(Ref_Frete!$B$2:$G$54,MATCH(C170,Ref_Frete!$A$2:$A$54,0),IF(B170="Pequenos",2,IF(B170="Medios",4,6))))</f>
        <v>39.9</v>
      </c>
      <c r="K170" s="13">
        <f>IF(OR(B170="",C170=""),"",INDEX(Ref_Frete!$B$2:$G$54,MATCH(C170,Ref_Frete!$A$2:$A$54,0),IF(B170="Pequenos",1,IF(B170="Medios",3,5))))</f>
        <v>49</v>
      </c>
      <c r="L170" s="13">
        <f t="shared" si="14"/>
        <v>-9.1000000000000014</v>
      </c>
      <c r="M170" s="13">
        <f t="shared" si="15"/>
        <v>230.16200000000003</v>
      </c>
      <c r="N170" s="12">
        <f t="shared" si="16"/>
        <v>0.2328914882421986</v>
      </c>
      <c r="O170" s="22" t="str">
        <f t="shared" si="17"/>
        <v>ACIMA DA META (&gt;20%)</v>
      </c>
      <c r="P170" s="23"/>
    </row>
    <row r="171" spans="1:16" ht="15" hidden="1" customHeight="1" x14ac:dyDescent="0.25">
      <c r="A171" s="19" t="s">
        <v>161</v>
      </c>
      <c r="B171" s="19" t="s">
        <v>130</v>
      </c>
      <c r="C171" s="19" t="s">
        <v>97</v>
      </c>
      <c r="D171" s="20">
        <v>248.75</v>
      </c>
      <c r="E171" s="21">
        <v>0</v>
      </c>
      <c r="F171" s="20">
        <v>124.42</v>
      </c>
      <c r="G171" s="13">
        <v>34.04</v>
      </c>
      <c r="H171" s="13">
        <f t="shared" si="12"/>
        <v>248.75</v>
      </c>
      <c r="I171" s="12">
        <f t="shared" si="13"/>
        <v>0.13684422110552763</v>
      </c>
      <c r="J171" s="13">
        <f>IF(OR(B171="",C171=""),"",INDEX(Ref_Frete!$B$2:$G$54,MATCH(C171,Ref_Frete!$A$2:$A$54,0),IF(B171="Pequenos",2,IF(B171="Medios",4,6))))</f>
        <v>59.9</v>
      </c>
      <c r="K171" s="13">
        <f>IF(OR(B171="",C171=""),"",INDEX(Ref_Frete!$B$2:$G$54,MATCH(C171,Ref_Frete!$A$2:$A$54,0),IF(B171="Pequenos",1,IF(B171="Medios",3,5))))</f>
        <v>89</v>
      </c>
      <c r="L171" s="13">
        <f t="shared" si="14"/>
        <v>-29.1</v>
      </c>
      <c r="M171" s="13">
        <f t="shared" si="15"/>
        <v>36.315000000000005</v>
      </c>
      <c r="N171" s="12">
        <f t="shared" si="16"/>
        <v>0.14598994974874374</v>
      </c>
      <c r="O171" s="22" t="str">
        <f t="shared" si="17"/>
        <v>ABAIXO DA META (10-15%)</v>
      </c>
      <c r="P171" s="23"/>
    </row>
    <row r="172" spans="1:16" ht="15" customHeight="1" x14ac:dyDescent="0.25">
      <c r="A172" s="19" t="s">
        <v>161</v>
      </c>
      <c r="B172" s="19" t="s">
        <v>130</v>
      </c>
      <c r="C172" s="19" t="s">
        <v>98</v>
      </c>
      <c r="D172" s="20">
        <v>248.75</v>
      </c>
      <c r="E172" s="21">
        <v>0</v>
      </c>
      <c r="F172" s="20">
        <v>124.42</v>
      </c>
      <c r="G172" s="13">
        <v>34.04</v>
      </c>
      <c r="H172" s="13">
        <f t="shared" si="12"/>
        <v>248.75</v>
      </c>
      <c r="I172" s="12">
        <f t="shared" si="13"/>
        <v>0.13684422110552763</v>
      </c>
      <c r="J172" s="13">
        <f>IF(OR(B172="",C172=""),"",INDEX(Ref_Frete!$B$2:$G$54,MATCH(C172,Ref_Frete!$A$2:$A$54,0),IF(B172="Pequenos",2,IF(B172="Medios",4,6))))</f>
        <v>39.9</v>
      </c>
      <c r="K172" s="13">
        <f>IF(OR(B172="",C172=""),"",INDEX(Ref_Frete!$B$2:$G$54,MATCH(C172,Ref_Frete!$A$2:$A$54,0),IF(B172="Pequenos",1,IF(B172="Medios",3,5))))</f>
        <v>49</v>
      </c>
      <c r="L172" s="13">
        <f t="shared" si="14"/>
        <v>-9.1000000000000014</v>
      </c>
      <c r="M172" s="13">
        <f t="shared" si="15"/>
        <v>56.315000000000005</v>
      </c>
      <c r="N172" s="12">
        <f t="shared" si="16"/>
        <v>0.22639195979899499</v>
      </c>
      <c r="O172" s="22" t="str">
        <f t="shared" si="17"/>
        <v>ACIMA DA META (&gt;20%)</v>
      </c>
      <c r="P172" s="23"/>
    </row>
    <row r="173" spans="1:16" ht="15" hidden="1" customHeight="1" x14ac:dyDescent="0.25">
      <c r="A173" s="19" t="s">
        <v>162</v>
      </c>
      <c r="B173" s="19" t="s">
        <v>130</v>
      </c>
      <c r="C173" s="19" t="s">
        <v>97</v>
      </c>
      <c r="D173" s="20">
        <v>360.6</v>
      </c>
      <c r="E173" s="21">
        <v>0</v>
      </c>
      <c r="F173" s="20">
        <v>194.41</v>
      </c>
      <c r="G173" s="13">
        <v>47.46</v>
      </c>
      <c r="H173" s="13">
        <f t="shared" si="12"/>
        <v>360.6</v>
      </c>
      <c r="I173" s="12">
        <f t="shared" si="13"/>
        <v>0.13161397670549085</v>
      </c>
      <c r="J173" s="13">
        <f>IF(OR(B173="",C173=""),"",INDEX(Ref_Frete!$B$2:$G$54,MATCH(C173,Ref_Frete!$A$2:$A$54,0),IF(B173="Pequenos",2,IF(B173="Medios",4,6))))</f>
        <v>59.9</v>
      </c>
      <c r="K173" s="13">
        <f>IF(OR(B173="",C173=""),"",INDEX(Ref_Frete!$B$2:$G$54,MATCH(C173,Ref_Frete!$A$2:$A$54,0),IF(B173="Pequenos",1,IF(B173="Medios",3,5))))</f>
        <v>89</v>
      </c>
      <c r="L173" s="13">
        <f t="shared" si="14"/>
        <v>-29.1</v>
      </c>
      <c r="M173" s="13">
        <f t="shared" si="15"/>
        <v>53.570000000000043</v>
      </c>
      <c r="N173" s="12">
        <f t="shared" si="16"/>
        <v>0.14855795895729351</v>
      </c>
      <c r="O173" s="22" t="str">
        <f t="shared" si="17"/>
        <v>ABAIXO DA META (10-15%)</v>
      </c>
      <c r="P173" s="23"/>
    </row>
    <row r="174" spans="1:16" ht="15" customHeight="1" x14ac:dyDescent="0.25">
      <c r="A174" s="19" t="s">
        <v>162</v>
      </c>
      <c r="B174" s="19" t="s">
        <v>130</v>
      </c>
      <c r="C174" s="19" t="s">
        <v>98</v>
      </c>
      <c r="D174" s="20">
        <v>360.6</v>
      </c>
      <c r="E174" s="21">
        <v>0</v>
      </c>
      <c r="F174" s="20">
        <v>194.41</v>
      </c>
      <c r="G174" s="13">
        <v>47.46</v>
      </c>
      <c r="H174" s="13">
        <f t="shared" si="12"/>
        <v>360.6</v>
      </c>
      <c r="I174" s="12">
        <f t="shared" si="13"/>
        <v>0.13161397670549085</v>
      </c>
      <c r="J174" s="13">
        <f>IF(OR(B174="",C174=""),"",INDEX(Ref_Frete!$B$2:$G$54,MATCH(C174,Ref_Frete!$A$2:$A$54,0),IF(B174="Pequenos",2,IF(B174="Medios",4,6))))</f>
        <v>39.9</v>
      </c>
      <c r="K174" s="13">
        <f>IF(OR(B174="",C174=""),"",INDEX(Ref_Frete!$B$2:$G$54,MATCH(C174,Ref_Frete!$A$2:$A$54,0),IF(B174="Pequenos",1,IF(B174="Medios",3,5))))</f>
        <v>49</v>
      </c>
      <c r="L174" s="13">
        <f t="shared" si="14"/>
        <v>-9.1000000000000014</v>
      </c>
      <c r="M174" s="13">
        <f t="shared" si="15"/>
        <v>73.57000000000005</v>
      </c>
      <c r="N174" s="12">
        <f t="shared" si="16"/>
        <v>0.20402107598447045</v>
      </c>
      <c r="O174" s="22" t="str">
        <f t="shared" si="17"/>
        <v>ACIMA DA META (&gt;20%)</v>
      </c>
      <c r="P174" s="23"/>
    </row>
    <row r="175" spans="1:16" ht="15" hidden="1" customHeight="1" x14ac:dyDescent="0.25">
      <c r="A175" s="19" t="s">
        <v>163</v>
      </c>
      <c r="B175" s="19" t="s">
        <v>130</v>
      </c>
      <c r="C175" s="19" t="s">
        <v>97</v>
      </c>
      <c r="D175" s="20">
        <v>321.20999999999998</v>
      </c>
      <c r="E175" s="21">
        <v>0</v>
      </c>
      <c r="F175" s="20">
        <v>170.08</v>
      </c>
      <c r="G175" s="13">
        <v>42.73</v>
      </c>
      <c r="H175" s="13">
        <f t="shared" si="12"/>
        <v>321.20999999999998</v>
      </c>
      <c r="I175" s="12">
        <f t="shared" si="13"/>
        <v>0.13302823697892344</v>
      </c>
      <c r="J175" s="13">
        <f>IF(OR(B175="",C175=""),"",INDEX(Ref_Frete!$B$2:$G$54,MATCH(C175,Ref_Frete!$A$2:$A$54,0),IF(B175="Pequenos",2,IF(B175="Medios",4,6))))</f>
        <v>59.9</v>
      </c>
      <c r="K175" s="13">
        <f>IF(OR(B175="",C175=""),"",INDEX(Ref_Frete!$B$2:$G$54,MATCH(C175,Ref_Frete!$A$2:$A$54,0),IF(B175="Pequenos",1,IF(B175="Medios",3,5))))</f>
        <v>89</v>
      </c>
      <c r="L175" s="13">
        <f t="shared" si="14"/>
        <v>-29.1</v>
      </c>
      <c r="M175" s="13">
        <f t="shared" si="15"/>
        <v>47.178999999999938</v>
      </c>
      <c r="N175" s="12">
        <f t="shared" si="16"/>
        <v>0.14687898882351091</v>
      </c>
      <c r="O175" s="22" t="str">
        <f t="shared" si="17"/>
        <v>ABAIXO DA META (10-15%)</v>
      </c>
      <c r="P175" s="23"/>
    </row>
    <row r="176" spans="1:16" ht="15" customHeight="1" x14ac:dyDescent="0.25">
      <c r="A176" s="19" t="s">
        <v>163</v>
      </c>
      <c r="B176" s="19" t="s">
        <v>130</v>
      </c>
      <c r="C176" s="19" t="s">
        <v>98</v>
      </c>
      <c r="D176" s="20">
        <v>321.20999999999998</v>
      </c>
      <c r="E176" s="21">
        <v>0</v>
      </c>
      <c r="F176" s="20">
        <v>170.08</v>
      </c>
      <c r="G176" s="13">
        <v>42.73</v>
      </c>
      <c r="H176" s="13">
        <f t="shared" si="12"/>
        <v>321.20999999999998</v>
      </c>
      <c r="I176" s="12">
        <f t="shared" si="13"/>
        <v>0.13302823697892344</v>
      </c>
      <c r="J176" s="13">
        <f>IF(OR(B176="",C176=""),"",INDEX(Ref_Frete!$B$2:$G$54,MATCH(C176,Ref_Frete!$A$2:$A$54,0),IF(B176="Pequenos",2,IF(B176="Medios",4,6))))</f>
        <v>39.9</v>
      </c>
      <c r="K176" s="13">
        <f>IF(OR(B176="",C176=""),"",INDEX(Ref_Frete!$B$2:$G$54,MATCH(C176,Ref_Frete!$A$2:$A$54,0),IF(B176="Pequenos",1,IF(B176="Medios",3,5))))</f>
        <v>49</v>
      </c>
      <c r="L176" s="13">
        <f t="shared" si="14"/>
        <v>-9.1000000000000014</v>
      </c>
      <c r="M176" s="13">
        <f t="shared" si="15"/>
        <v>67.178999999999945</v>
      </c>
      <c r="N176" s="12">
        <f t="shared" si="16"/>
        <v>0.20914355094797779</v>
      </c>
      <c r="O176" s="22" t="str">
        <f t="shared" si="17"/>
        <v>ACIMA DA META (&gt;20%)</v>
      </c>
      <c r="P176" s="23"/>
    </row>
    <row r="177" spans="1:16" ht="15" hidden="1" customHeight="1" x14ac:dyDescent="0.25">
      <c r="A177" s="19" t="s">
        <v>164</v>
      </c>
      <c r="B177" s="19" t="s">
        <v>130</v>
      </c>
      <c r="C177" s="19" t="s">
        <v>97</v>
      </c>
      <c r="D177" s="20">
        <v>451.17</v>
      </c>
      <c r="E177" s="21">
        <v>0</v>
      </c>
      <c r="F177" s="20">
        <v>232.51</v>
      </c>
      <c r="G177" s="13">
        <v>58.33</v>
      </c>
      <c r="H177" s="13">
        <f t="shared" si="12"/>
        <v>451.17</v>
      </c>
      <c r="I177" s="12">
        <f t="shared" si="13"/>
        <v>0.12928607841833453</v>
      </c>
      <c r="J177" s="13">
        <f>IF(OR(B177="",C177=""),"",INDEX(Ref_Frete!$B$2:$G$54,MATCH(C177,Ref_Frete!$A$2:$A$54,0),IF(B177="Pequenos",2,IF(B177="Medios",4,6))))</f>
        <v>59.9</v>
      </c>
      <c r="K177" s="13">
        <f>IF(OR(B177="",C177=""),"",INDEX(Ref_Frete!$B$2:$G$54,MATCH(C177,Ref_Frete!$A$2:$A$54,0),IF(B177="Pequenos",1,IF(B177="Medios",3,5))))</f>
        <v>89</v>
      </c>
      <c r="L177" s="13">
        <f t="shared" si="14"/>
        <v>-29.1</v>
      </c>
      <c r="M177" s="13">
        <f t="shared" si="15"/>
        <v>86.113000000000028</v>
      </c>
      <c r="N177" s="12">
        <f t="shared" si="16"/>
        <v>0.19086597069840641</v>
      </c>
      <c r="O177" s="22" t="str">
        <f t="shared" si="17"/>
        <v>DENTRO DA META (15-20%)</v>
      </c>
      <c r="P177" s="23"/>
    </row>
    <row r="178" spans="1:16" ht="15" customHeight="1" x14ac:dyDescent="0.25">
      <c r="A178" s="19" t="s">
        <v>164</v>
      </c>
      <c r="B178" s="19" t="s">
        <v>130</v>
      </c>
      <c r="C178" s="19" t="s">
        <v>98</v>
      </c>
      <c r="D178" s="20">
        <v>451.17</v>
      </c>
      <c r="E178" s="21">
        <v>0</v>
      </c>
      <c r="F178" s="20">
        <v>232.51</v>
      </c>
      <c r="G178" s="13">
        <v>58.33</v>
      </c>
      <c r="H178" s="13">
        <f t="shared" si="12"/>
        <v>451.17</v>
      </c>
      <c r="I178" s="12">
        <f t="shared" si="13"/>
        <v>0.12928607841833453</v>
      </c>
      <c r="J178" s="13">
        <f>IF(OR(B178="",C178=""),"",INDEX(Ref_Frete!$B$2:$G$54,MATCH(C178,Ref_Frete!$A$2:$A$54,0),IF(B178="Pequenos",2,IF(B178="Medios",4,6))))</f>
        <v>39.9</v>
      </c>
      <c r="K178" s="13">
        <f>IF(OR(B178="",C178=""),"",INDEX(Ref_Frete!$B$2:$G$54,MATCH(C178,Ref_Frete!$A$2:$A$54,0),IF(B178="Pequenos",1,IF(B178="Medios",3,5))))</f>
        <v>49</v>
      </c>
      <c r="L178" s="13">
        <f t="shared" si="14"/>
        <v>-9.1000000000000014</v>
      </c>
      <c r="M178" s="13">
        <f t="shared" si="15"/>
        <v>106.11300000000003</v>
      </c>
      <c r="N178" s="12">
        <f t="shared" si="16"/>
        <v>0.23519515925260995</v>
      </c>
      <c r="O178" s="22" t="str">
        <f t="shared" si="17"/>
        <v>ACIMA DA META (&gt;20%)</v>
      </c>
      <c r="P178" s="23"/>
    </row>
    <row r="179" spans="1:16" ht="15" hidden="1" customHeight="1" x14ac:dyDescent="0.25">
      <c r="A179" s="19" t="s">
        <v>60</v>
      </c>
      <c r="B179" s="19" t="s">
        <v>130</v>
      </c>
      <c r="C179" s="19" t="s">
        <v>97</v>
      </c>
      <c r="D179" s="20">
        <v>460.12</v>
      </c>
      <c r="E179" s="21">
        <v>0</v>
      </c>
      <c r="F179" s="20">
        <v>228.9</v>
      </c>
      <c r="G179" s="13">
        <v>59.4</v>
      </c>
      <c r="H179" s="13">
        <f t="shared" si="12"/>
        <v>460.12</v>
      </c>
      <c r="I179" s="12">
        <f t="shared" si="13"/>
        <v>0.12909675736764323</v>
      </c>
      <c r="J179" s="13">
        <f>IF(OR(B179="",C179=""),"",INDEX(Ref_Frete!$B$2:$G$54,MATCH(C179,Ref_Frete!$A$2:$A$54,0),IF(B179="Pequenos",2,IF(B179="Medios",4,6))))</f>
        <v>59.9</v>
      </c>
      <c r="K179" s="13">
        <f>IF(OR(B179="",C179=""),"",INDEX(Ref_Frete!$B$2:$G$54,MATCH(C179,Ref_Frete!$A$2:$A$54,0),IF(B179="Pequenos",1,IF(B179="Medios",3,5))))</f>
        <v>89</v>
      </c>
      <c r="L179" s="13">
        <f t="shared" si="14"/>
        <v>-29.1</v>
      </c>
      <c r="M179" s="13">
        <f t="shared" si="15"/>
        <v>96.708000000000027</v>
      </c>
      <c r="N179" s="12">
        <f t="shared" si="16"/>
        <v>0.21017995305572465</v>
      </c>
      <c r="O179" s="22" t="str">
        <f t="shared" si="17"/>
        <v>ACIMA DA META (&gt;20%)</v>
      </c>
      <c r="P179" s="23"/>
    </row>
    <row r="180" spans="1:16" ht="15" customHeight="1" x14ac:dyDescent="0.25">
      <c r="A180" s="19" t="s">
        <v>60</v>
      </c>
      <c r="B180" s="19" t="s">
        <v>130</v>
      </c>
      <c r="C180" s="19" t="s">
        <v>98</v>
      </c>
      <c r="D180" s="20">
        <v>460.12</v>
      </c>
      <c r="E180" s="21">
        <v>0</v>
      </c>
      <c r="F180" s="20">
        <v>228.9</v>
      </c>
      <c r="G180" s="13">
        <v>59.4</v>
      </c>
      <c r="H180" s="13">
        <f t="shared" si="12"/>
        <v>460.12</v>
      </c>
      <c r="I180" s="12">
        <f t="shared" si="13"/>
        <v>0.12909675736764323</v>
      </c>
      <c r="J180" s="13">
        <f>IF(OR(B180="",C180=""),"",INDEX(Ref_Frete!$B$2:$G$54,MATCH(C180,Ref_Frete!$A$2:$A$54,0),IF(B180="Pequenos",2,IF(B180="Medios",4,6))))</f>
        <v>39.9</v>
      </c>
      <c r="K180" s="13">
        <f>IF(OR(B180="",C180=""),"",INDEX(Ref_Frete!$B$2:$G$54,MATCH(C180,Ref_Frete!$A$2:$A$54,0),IF(B180="Pequenos",1,IF(B180="Medios",3,5))))</f>
        <v>49</v>
      </c>
      <c r="L180" s="13">
        <f t="shared" si="14"/>
        <v>-9.1000000000000014</v>
      </c>
      <c r="M180" s="13">
        <f t="shared" si="15"/>
        <v>116.70800000000003</v>
      </c>
      <c r="N180" s="12">
        <f t="shared" si="16"/>
        <v>0.25364687472833181</v>
      </c>
      <c r="O180" s="22" t="str">
        <f t="shared" si="17"/>
        <v>ACIMA DA META (&gt;20%)</v>
      </c>
      <c r="P180" s="23"/>
    </row>
    <row r="181" spans="1:16" ht="15" hidden="1" customHeight="1" x14ac:dyDescent="0.25">
      <c r="A181" s="19" t="s">
        <v>165</v>
      </c>
      <c r="B181" s="19" t="s">
        <v>130</v>
      </c>
      <c r="C181" s="19" t="s">
        <v>97</v>
      </c>
      <c r="D181" s="20">
        <v>721.69</v>
      </c>
      <c r="E181" s="21">
        <v>0</v>
      </c>
      <c r="F181" s="20">
        <v>408.87</v>
      </c>
      <c r="G181" s="13">
        <v>90.8</v>
      </c>
      <c r="H181" s="13">
        <f t="shared" si="12"/>
        <v>721.69</v>
      </c>
      <c r="I181" s="12">
        <f t="shared" si="13"/>
        <v>0.1258157934847372</v>
      </c>
      <c r="J181" s="13">
        <f>IF(OR(B181="",C181=""),"",INDEX(Ref_Frete!$B$2:$G$54,MATCH(C181,Ref_Frete!$A$2:$A$54,0),IF(B181="Pequenos",2,IF(B181="Medios",4,6))))</f>
        <v>59.9</v>
      </c>
      <c r="K181" s="13">
        <f>IF(OR(B181="",C181=""),"",INDEX(Ref_Frete!$B$2:$G$54,MATCH(C181,Ref_Frete!$A$2:$A$54,0),IF(B181="Pequenos",1,IF(B181="Medios",3,5))))</f>
        <v>89</v>
      </c>
      <c r="L181" s="13">
        <f t="shared" si="14"/>
        <v>-29.1</v>
      </c>
      <c r="M181" s="13">
        <f t="shared" si="15"/>
        <v>120.75100000000009</v>
      </c>
      <c r="N181" s="12">
        <f t="shared" si="16"/>
        <v>0.16731699206030301</v>
      </c>
      <c r="O181" s="22" t="str">
        <f t="shared" si="17"/>
        <v>DENTRO DA META (15-20%)</v>
      </c>
      <c r="P181" s="23" t="s">
        <v>166</v>
      </c>
    </row>
    <row r="182" spans="1:16" ht="15" customHeight="1" x14ac:dyDescent="0.25">
      <c r="A182" s="19" t="s">
        <v>165</v>
      </c>
      <c r="B182" s="19" t="s">
        <v>130</v>
      </c>
      <c r="C182" s="19" t="s">
        <v>98</v>
      </c>
      <c r="D182" s="20">
        <v>721.69</v>
      </c>
      <c r="E182" s="21">
        <v>0</v>
      </c>
      <c r="F182" s="20">
        <v>408.87</v>
      </c>
      <c r="G182" s="13">
        <v>90.8</v>
      </c>
      <c r="H182" s="13">
        <f t="shared" si="12"/>
        <v>721.69</v>
      </c>
      <c r="I182" s="12">
        <f t="shared" si="13"/>
        <v>0.1258157934847372</v>
      </c>
      <c r="J182" s="13">
        <f>IF(OR(B182="",C182=""),"",INDEX(Ref_Frete!$B$2:$G$54,MATCH(C182,Ref_Frete!$A$2:$A$54,0),IF(B182="Pequenos",2,IF(B182="Medios",4,6))))</f>
        <v>39.9</v>
      </c>
      <c r="K182" s="13">
        <f>IF(OR(B182="",C182=""),"",INDEX(Ref_Frete!$B$2:$G$54,MATCH(C182,Ref_Frete!$A$2:$A$54,0),IF(B182="Pequenos",1,IF(B182="Medios",3,5))))</f>
        <v>49</v>
      </c>
      <c r="L182" s="13">
        <f t="shared" si="14"/>
        <v>-9.1000000000000014</v>
      </c>
      <c r="M182" s="13">
        <f t="shared" si="15"/>
        <v>140.75100000000009</v>
      </c>
      <c r="N182" s="12">
        <f t="shared" si="16"/>
        <v>0.19502972190275614</v>
      </c>
      <c r="O182" s="22" t="str">
        <f t="shared" si="17"/>
        <v>DENTRO DA META (15-20%)</v>
      </c>
      <c r="P182" s="23" t="s">
        <v>166</v>
      </c>
    </row>
    <row r="183" spans="1:16" ht="15" hidden="1" customHeight="1" x14ac:dyDescent="0.25">
      <c r="A183" s="19" t="s">
        <v>167</v>
      </c>
      <c r="B183" s="19" t="s">
        <v>130</v>
      </c>
      <c r="C183" s="19" t="s">
        <v>97</v>
      </c>
      <c r="D183" s="20">
        <v>349.45</v>
      </c>
      <c r="E183" s="21">
        <v>0</v>
      </c>
      <c r="F183" s="20">
        <v>183.04</v>
      </c>
      <c r="G183" s="13">
        <v>46.12</v>
      </c>
      <c r="H183" s="13">
        <f t="shared" si="12"/>
        <v>349.45</v>
      </c>
      <c r="I183" s="12">
        <f t="shared" si="13"/>
        <v>0.13197882386607526</v>
      </c>
      <c r="J183" s="13">
        <f>IF(OR(B183="",C183=""),"",INDEX(Ref_Frete!$B$2:$G$54,MATCH(C183,Ref_Frete!$A$2:$A$54,0),IF(B183="Pequenos",2,IF(B183="Medios",4,6))))</f>
        <v>59.9</v>
      </c>
      <c r="K183" s="13">
        <f>IF(OR(B183="",C183=""),"",INDEX(Ref_Frete!$B$2:$G$54,MATCH(C183,Ref_Frete!$A$2:$A$54,0),IF(B183="Pequenos",1,IF(B183="Medios",3,5))))</f>
        <v>89</v>
      </c>
      <c r="L183" s="13">
        <f t="shared" si="14"/>
        <v>-29.1</v>
      </c>
      <c r="M183" s="13">
        <f t="shared" si="15"/>
        <v>56.244999999999997</v>
      </c>
      <c r="N183" s="12">
        <f t="shared" si="16"/>
        <v>0.16095292602661324</v>
      </c>
      <c r="O183" s="22" t="str">
        <f t="shared" si="17"/>
        <v>DENTRO DA META (15-20%)</v>
      </c>
      <c r="P183" s="23"/>
    </row>
    <row r="184" spans="1:16" ht="15" customHeight="1" x14ac:dyDescent="0.25">
      <c r="A184" s="19" t="s">
        <v>167</v>
      </c>
      <c r="B184" s="19" t="s">
        <v>130</v>
      </c>
      <c r="C184" s="19" t="s">
        <v>98</v>
      </c>
      <c r="D184" s="20">
        <v>349.45</v>
      </c>
      <c r="E184" s="21">
        <v>0</v>
      </c>
      <c r="F184" s="20">
        <v>183.04</v>
      </c>
      <c r="G184" s="13">
        <v>46.12</v>
      </c>
      <c r="H184" s="13">
        <f t="shared" si="12"/>
        <v>349.45</v>
      </c>
      <c r="I184" s="12">
        <f t="shared" si="13"/>
        <v>0.13197882386607526</v>
      </c>
      <c r="J184" s="13">
        <f>IF(OR(B184="",C184=""),"",INDEX(Ref_Frete!$B$2:$G$54,MATCH(C184,Ref_Frete!$A$2:$A$54,0),IF(B184="Pequenos",2,IF(B184="Medios",4,6))))</f>
        <v>39.9</v>
      </c>
      <c r="K184" s="13">
        <f>IF(OR(B184="",C184=""),"",INDEX(Ref_Frete!$B$2:$G$54,MATCH(C184,Ref_Frete!$A$2:$A$54,0),IF(B184="Pequenos",1,IF(B184="Medios",3,5))))</f>
        <v>49</v>
      </c>
      <c r="L184" s="13">
        <f t="shared" si="14"/>
        <v>-9.1000000000000014</v>
      </c>
      <c r="M184" s="13">
        <f t="shared" si="15"/>
        <v>76.245000000000005</v>
      </c>
      <c r="N184" s="12">
        <f t="shared" si="16"/>
        <v>0.21818572041779941</v>
      </c>
      <c r="O184" s="22" t="str">
        <f t="shared" si="17"/>
        <v>ACIMA DA META (&gt;20%)</v>
      </c>
      <c r="P184" s="23"/>
    </row>
    <row r="185" spans="1:16" ht="15" hidden="1" customHeight="1" x14ac:dyDescent="0.25">
      <c r="A185" s="19" t="s">
        <v>168</v>
      </c>
      <c r="B185" s="19" t="s">
        <v>130</v>
      </c>
      <c r="C185" s="19" t="s">
        <v>97</v>
      </c>
      <c r="D185" s="20">
        <v>360.97</v>
      </c>
      <c r="E185" s="21">
        <v>0</v>
      </c>
      <c r="F185" s="20">
        <v>198.38</v>
      </c>
      <c r="G185" s="13">
        <v>47.5</v>
      </c>
      <c r="H185" s="13">
        <f t="shared" si="12"/>
        <v>360.97</v>
      </c>
      <c r="I185" s="12">
        <f t="shared" si="13"/>
        <v>0.13158988281574646</v>
      </c>
      <c r="J185" s="13">
        <f>IF(OR(B185="",C185=""),"",INDEX(Ref_Frete!$B$2:$G$54,MATCH(C185,Ref_Frete!$A$2:$A$54,0),IF(B185="Pequenos",2,IF(B185="Medios",4,6))))</f>
        <v>59.9</v>
      </c>
      <c r="K185" s="13">
        <f>IF(OR(B185="",C185=""),"",INDEX(Ref_Frete!$B$2:$G$54,MATCH(C185,Ref_Frete!$A$2:$A$54,0),IF(B185="Pequenos",1,IF(B185="Medios",3,5))))</f>
        <v>89</v>
      </c>
      <c r="L185" s="13">
        <f t="shared" si="14"/>
        <v>-29.1</v>
      </c>
      <c r="M185" s="13">
        <f t="shared" si="15"/>
        <v>49.893000000000022</v>
      </c>
      <c r="N185" s="12">
        <f t="shared" si="16"/>
        <v>0.13821924259633769</v>
      </c>
      <c r="O185" s="22" t="str">
        <f t="shared" si="17"/>
        <v>ABAIXO DA META (10-15%)</v>
      </c>
      <c r="P185" s="23"/>
    </row>
    <row r="186" spans="1:16" ht="15" customHeight="1" x14ac:dyDescent="0.25">
      <c r="A186" s="19" t="s">
        <v>168</v>
      </c>
      <c r="B186" s="19" t="s">
        <v>130</v>
      </c>
      <c r="C186" s="19" t="s">
        <v>98</v>
      </c>
      <c r="D186" s="20">
        <v>360.97</v>
      </c>
      <c r="E186" s="21">
        <v>0</v>
      </c>
      <c r="F186" s="20">
        <v>198.38</v>
      </c>
      <c r="G186" s="13">
        <v>47.5</v>
      </c>
      <c r="H186" s="13">
        <f t="shared" si="12"/>
        <v>360.97</v>
      </c>
      <c r="I186" s="12">
        <f t="shared" si="13"/>
        <v>0.13158988281574646</v>
      </c>
      <c r="J186" s="13">
        <f>IF(OR(B186="",C186=""),"",INDEX(Ref_Frete!$B$2:$G$54,MATCH(C186,Ref_Frete!$A$2:$A$54,0),IF(B186="Pequenos",2,IF(B186="Medios",4,6))))</f>
        <v>39.9</v>
      </c>
      <c r="K186" s="13">
        <f>IF(OR(B186="",C186=""),"",INDEX(Ref_Frete!$B$2:$G$54,MATCH(C186,Ref_Frete!$A$2:$A$54,0),IF(B186="Pequenos",1,IF(B186="Medios",3,5))))</f>
        <v>49</v>
      </c>
      <c r="L186" s="13">
        <f t="shared" si="14"/>
        <v>-9.1000000000000014</v>
      </c>
      <c r="M186" s="13">
        <f t="shared" si="15"/>
        <v>69.893000000000029</v>
      </c>
      <c r="N186" s="12">
        <f t="shared" si="16"/>
        <v>0.19362550904507306</v>
      </c>
      <c r="O186" s="22" t="str">
        <f t="shared" si="17"/>
        <v>DENTRO DA META (15-20%)</v>
      </c>
      <c r="P186" s="23"/>
    </row>
    <row r="187" spans="1:16" ht="15" hidden="1" customHeight="1" x14ac:dyDescent="0.25">
      <c r="A187" s="19" t="s">
        <v>53</v>
      </c>
      <c r="B187" s="19" t="s">
        <v>130</v>
      </c>
      <c r="C187" s="19" t="s">
        <v>97</v>
      </c>
      <c r="D187" s="20">
        <v>580.52</v>
      </c>
      <c r="E187" s="21">
        <v>0</v>
      </c>
      <c r="F187" s="20">
        <v>277.75</v>
      </c>
      <c r="G187" s="13">
        <v>73.849999999999994</v>
      </c>
      <c r="H187" s="13">
        <f t="shared" si="12"/>
        <v>580.52</v>
      </c>
      <c r="I187" s="12">
        <f t="shared" si="13"/>
        <v>0.12721353269482533</v>
      </c>
      <c r="J187" s="13">
        <f>IF(OR(B187="",C187=""),"",INDEX(Ref_Frete!$B$2:$G$54,MATCH(C187,Ref_Frete!$A$2:$A$54,0),IF(B187="Pequenos",2,IF(B187="Medios",4,6))))</f>
        <v>59.9</v>
      </c>
      <c r="K187" s="13">
        <f>IF(OR(B187="",C187=""),"",INDEX(Ref_Frete!$B$2:$G$54,MATCH(C187,Ref_Frete!$A$2:$A$54,0),IF(B187="Pequenos",1,IF(B187="Medios",3,5))))</f>
        <v>89</v>
      </c>
      <c r="L187" s="13">
        <f t="shared" si="14"/>
        <v>-29.1</v>
      </c>
      <c r="M187" s="13">
        <f t="shared" si="15"/>
        <v>141.76799999999997</v>
      </c>
      <c r="N187" s="12">
        <f t="shared" si="16"/>
        <v>0.2442086405291807</v>
      </c>
      <c r="O187" s="22" t="str">
        <f t="shared" si="17"/>
        <v>ACIMA DA META (&gt;20%)</v>
      </c>
      <c r="P187" s="23"/>
    </row>
    <row r="188" spans="1:16" ht="15" customHeight="1" x14ac:dyDescent="0.25">
      <c r="A188" s="19" t="s">
        <v>53</v>
      </c>
      <c r="B188" s="19" t="s">
        <v>130</v>
      </c>
      <c r="C188" s="19" t="s">
        <v>98</v>
      </c>
      <c r="D188" s="20">
        <v>580.52</v>
      </c>
      <c r="E188" s="21">
        <v>0</v>
      </c>
      <c r="F188" s="20">
        <v>277.75</v>
      </c>
      <c r="G188" s="13">
        <v>73.849999999999994</v>
      </c>
      <c r="H188" s="13">
        <f t="shared" si="12"/>
        <v>580.52</v>
      </c>
      <c r="I188" s="12">
        <f t="shared" si="13"/>
        <v>0.12721353269482533</v>
      </c>
      <c r="J188" s="13">
        <f>IF(OR(B188="",C188=""),"",INDEX(Ref_Frete!$B$2:$G$54,MATCH(C188,Ref_Frete!$A$2:$A$54,0),IF(B188="Pequenos",2,IF(B188="Medios",4,6))))</f>
        <v>39.9</v>
      </c>
      <c r="K188" s="13">
        <f>IF(OR(B188="",C188=""),"",INDEX(Ref_Frete!$B$2:$G$54,MATCH(C188,Ref_Frete!$A$2:$A$54,0),IF(B188="Pequenos",1,IF(B188="Medios",3,5))))</f>
        <v>49</v>
      </c>
      <c r="L188" s="13">
        <f t="shared" si="14"/>
        <v>-9.1000000000000014</v>
      </c>
      <c r="M188" s="13">
        <f t="shared" si="15"/>
        <v>161.76799999999997</v>
      </c>
      <c r="N188" s="12">
        <f t="shared" si="16"/>
        <v>0.27866051126576169</v>
      </c>
      <c r="O188" s="22" t="str">
        <f t="shared" si="17"/>
        <v>ACIMA DA META (&gt;20%)</v>
      </c>
      <c r="P188" s="23"/>
    </row>
    <row r="189" spans="1:16" ht="15" hidden="1" customHeight="1" x14ac:dyDescent="0.25">
      <c r="A189" s="19" t="s">
        <v>169</v>
      </c>
      <c r="B189" s="19" t="s">
        <v>130</v>
      </c>
      <c r="C189" s="19" t="s">
        <v>97</v>
      </c>
      <c r="D189" s="20">
        <v>532.92999999999995</v>
      </c>
      <c r="E189" s="21">
        <v>0</v>
      </c>
      <c r="F189" s="20">
        <v>301.02999999999997</v>
      </c>
      <c r="G189" s="13">
        <v>68.14</v>
      </c>
      <c r="H189" s="13">
        <f t="shared" si="12"/>
        <v>532.92999999999995</v>
      </c>
      <c r="I189" s="12">
        <f t="shared" si="13"/>
        <v>0.12785919351509581</v>
      </c>
      <c r="J189" s="13">
        <f>IF(OR(B189="",C189=""),"",INDEX(Ref_Frete!$B$2:$G$54,MATCH(C189,Ref_Frete!$A$2:$A$54,0),IF(B189="Pequenos",2,IF(B189="Medios",4,6))))</f>
        <v>59.9</v>
      </c>
      <c r="K189" s="13">
        <f>IF(OR(B189="",C189=""),"",INDEX(Ref_Frete!$B$2:$G$54,MATCH(C189,Ref_Frete!$A$2:$A$54,0),IF(B189="Pequenos",1,IF(B189="Medios",3,5))))</f>
        <v>89</v>
      </c>
      <c r="L189" s="13">
        <f t="shared" si="14"/>
        <v>-29.1</v>
      </c>
      <c r="M189" s="13">
        <f t="shared" si="15"/>
        <v>81.36699999999999</v>
      </c>
      <c r="N189" s="12">
        <f t="shared" si="16"/>
        <v>0.15267858818231286</v>
      </c>
      <c r="O189" s="22" t="str">
        <f t="shared" si="17"/>
        <v>DENTRO DA META (15-20%)</v>
      </c>
      <c r="P189" s="23"/>
    </row>
    <row r="190" spans="1:16" ht="15" customHeight="1" x14ac:dyDescent="0.25">
      <c r="A190" s="19" t="s">
        <v>169</v>
      </c>
      <c r="B190" s="19" t="s">
        <v>130</v>
      </c>
      <c r="C190" s="19" t="s">
        <v>98</v>
      </c>
      <c r="D190" s="20">
        <v>532.92999999999995</v>
      </c>
      <c r="E190" s="21">
        <v>0</v>
      </c>
      <c r="F190" s="20">
        <v>301.02999999999997</v>
      </c>
      <c r="G190" s="13">
        <v>68.14</v>
      </c>
      <c r="H190" s="13">
        <f t="shared" si="12"/>
        <v>532.92999999999995</v>
      </c>
      <c r="I190" s="12">
        <f t="shared" si="13"/>
        <v>0.12785919351509581</v>
      </c>
      <c r="J190" s="13">
        <f>IF(OR(B190="",C190=""),"",INDEX(Ref_Frete!$B$2:$G$54,MATCH(C190,Ref_Frete!$A$2:$A$54,0),IF(B190="Pequenos",2,IF(B190="Medios",4,6))))</f>
        <v>39.9</v>
      </c>
      <c r="K190" s="13">
        <f>IF(OR(B190="",C190=""),"",INDEX(Ref_Frete!$B$2:$G$54,MATCH(C190,Ref_Frete!$A$2:$A$54,0),IF(B190="Pequenos",1,IF(B190="Medios",3,5))))</f>
        <v>49</v>
      </c>
      <c r="L190" s="13">
        <f t="shared" si="14"/>
        <v>-9.1000000000000014</v>
      </c>
      <c r="M190" s="13">
        <f t="shared" si="15"/>
        <v>101.36699999999999</v>
      </c>
      <c r="N190" s="12">
        <f t="shared" si="16"/>
        <v>0.19020696902032161</v>
      </c>
      <c r="O190" s="22" t="str">
        <f t="shared" si="17"/>
        <v>DENTRO DA META (15-20%)</v>
      </c>
      <c r="P190" s="23"/>
    </row>
    <row r="191" spans="1:16" ht="15" hidden="1" customHeight="1" x14ac:dyDescent="0.25">
      <c r="A191" s="19" t="s">
        <v>170</v>
      </c>
      <c r="B191" s="19" t="s">
        <v>130</v>
      </c>
      <c r="C191" s="19" t="s">
        <v>97</v>
      </c>
      <c r="D191" s="20">
        <v>475.31</v>
      </c>
      <c r="E191" s="21">
        <v>0</v>
      </c>
      <c r="F191" s="20">
        <v>247.86</v>
      </c>
      <c r="G191" s="13">
        <v>61.23</v>
      </c>
      <c r="H191" s="13">
        <f t="shared" si="12"/>
        <v>475.31</v>
      </c>
      <c r="I191" s="12">
        <f t="shared" si="13"/>
        <v>0.1288211903810145</v>
      </c>
      <c r="J191" s="13">
        <f>IF(OR(B191="",C191=""),"",INDEX(Ref_Frete!$B$2:$G$54,MATCH(C191,Ref_Frete!$A$2:$A$54,0),IF(B191="Pequenos",2,IF(B191="Medios",4,6))))</f>
        <v>59.9</v>
      </c>
      <c r="K191" s="13">
        <f>IF(OR(B191="",C191=""),"",INDEX(Ref_Frete!$B$2:$G$54,MATCH(C191,Ref_Frete!$A$2:$A$54,0),IF(B191="Pequenos",1,IF(B191="Medios",3,5))))</f>
        <v>89</v>
      </c>
      <c r="L191" s="13">
        <f t="shared" si="14"/>
        <v>-29.1</v>
      </c>
      <c r="M191" s="13">
        <f t="shared" si="15"/>
        <v>89.58899999999997</v>
      </c>
      <c r="N191" s="12">
        <f t="shared" si="16"/>
        <v>0.18848540952220649</v>
      </c>
      <c r="O191" s="22" t="str">
        <f t="shared" si="17"/>
        <v>DENTRO DA META (15-20%)</v>
      </c>
      <c r="P191" s="23"/>
    </row>
    <row r="192" spans="1:16" ht="15" customHeight="1" x14ac:dyDescent="0.25">
      <c r="A192" s="19" t="s">
        <v>170</v>
      </c>
      <c r="B192" s="19" t="s">
        <v>130</v>
      </c>
      <c r="C192" s="19" t="s">
        <v>98</v>
      </c>
      <c r="D192" s="20">
        <v>475.31</v>
      </c>
      <c r="E192" s="21">
        <v>0</v>
      </c>
      <c r="F192" s="20">
        <v>247.86</v>
      </c>
      <c r="G192" s="13">
        <v>61.23</v>
      </c>
      <c r="H192" s="13">
        <f t="shared" si="12"/>
        <v>475.31</v>
      </c>
      <c r="I192" s="12">
        <f t="shared" si="13"/>
        <v>0.1288211903810145</v>
      </c>
      <c r="J192" s="13">
        <f>IF(OR(B192="",C192=""),"",INDEX(Ref_Frete!$B$2:$G$54,MATCH(C192,Ref_Frete!$A$2:$A$54,0),IF(B192="Pequenos",2,IF(B192="Medios",4,6))))</f>
        <v>39.9</v>
      </c>
      <c r="K192" s="13">
        <f>IF(OR(B192="",C192=""),"",INDEX(Ref_Frete!$B$2:$G$54,MATCH(C192,Ref_Frete!$A$2:$A$54,0),IF(B192="Pequenos",1,IF(B192="Medios",3,5))))</f>
        <v>49</v>
      </c>
      <c r="L192" s="13">
        <f t="shared" si="14"/>
        <v>-9.1000000000000014</v>
      </c>
      <c r="M192" s="13">
        <f t="shared" si="15"/>
        <v>109.58899999999997</v>
      </c>
      <c r="N192" s="12">
        <f t="shared" si="16"/>
        <v>0.23056321137783756</v>
      </c>
      <c r="O192" s="22" t="str">
        <f t="shared" si="17"/>
        <v>ACIMA DA META (&gt;20%)</v>
      </c>
      <c r="P192" s="23"/>
    </row>
    <row r="193" spans="1:16" ht="15" hidden="1" customHeight="1" x14ac:dyDescent="0.25">
      <c r="A193" s="19" t="s">
        <v>171</v>
      </c>
      <c r="B193" s="19" t="s">
        <v>130</v>
      </c>
      <c r="C193" s="19" t="s">
        <v>97</v>
      </c>
      <c r="D193" s="20">
        <v>457.17</v>
      </c>
      <c r="E193" s="21">
        <v>0</v>
      </c>
      <c r="F193" s="20">
        <v>236.22</v>
      </c>
      <c r="G193" s="13">
        <v>59.05</v>
      </c>
      <c r="H193" s="13">
        <f t="shared" si="12"/>
        <v>457.17</v>
      </c>
      <c r="I193" s="12">
        <f t="shared" si="13"/>
        <v>0.12916420587527613</v>
      </c>
      <c r="J193" s="13">
        <f>IF(OR(B193="",C193=""),"",INDEX(Ref_Frete!$B$2:$G$54,MATCH(C193,Ref_Frete!$A$2:$A$54,0),IF(B193="Pequenos",2,IF(B193="Medios",4,6))))</f>
        <v>59.9</v>
      </c>
      <c r="K193" s="13">
        <f>IF(OR(B193="",C193=""),"",INDEX(Ref_Frete!$B$2:$G$54,MATCH(C193,Ref_Frete!$A$2:$A$54,0),IF(B193="Pequenos",1,IF(B193="Medios",3,5))))</f>
        <v>89</v>
      </c>
      <c r="L193" s="13">
        <f t="shared" si="14"/>
        <v>-29.1</v>
      </c>
      <c r="M193" s="13">
        <f t="shared" si="15"/>
        <v>87.082999999999998</v>
      </c>
      <c r="N193" s="12">
        <f t="shared" si="16"/>
        <v>0.19048275258656516</v>
      </c>
      <c r="O193" s="22" t="str">
        <f t="shared" si="17"/>
        <v>DENTRO DA META (15-20%)</v>
      </c>
      <c r="P193" s="23"/>
    </row>
    <row r="194" spans="1:16" ht="15" customHeight="1" x14ac:dyDescent="0.25">
      <c r="A194" s="19" t="s">
        <v>171</v>
      </c>
      <c r="B194" s="19" t="s">
        <v>130</v>
      </c>
      <c r="C194" s="19" t="s">
        <v>98</v>
      </c>
      <c r="D194" s="20">
        <v>457.17</v>
      </c>
      <c r="E194" s="21">
        <v>0</v>
      </c>
      <c r="F194" s="20">
        <v>236.22</v>
      </c>
      <c r="G194" s="13">
        <v>59.05</v>
      </c>
      <c r="H194" s="13">
        <f t="shared" si="12"/>
        <v>457.17</v>
      </c>
      <c r="I194" s="12">
        <f t="shared" si="13"/>
        <v>0.12916420587527613</v>
      </c>
      <c r="J194" s="13">
        <f>IF(OR(B194="",C194=""),"",INDEX(Ref_Frete!$B$2:$G$54,MATCH(C194,Ref_Frete!$A$2:$A$54,0),IF(B194="Pequenos",2,IF(B194="Medios",4,6))))</f>
        <v>39.9</v>
      </c>
      <c r="K194" s="13">
        <f>IF(OR(B194="",C194=""),"",INDEX(Ref_Frete!$B$2:$G$54,MATCH(C194,Ref_Frete!$A$2:$A$54,0),IF(B194="Pequenos",1,IF(B194="Medios",3,5))))</f>
        <v>49</v>
      </c>
      <c r="L194" s="13">
        <f t="shared" si="14"/>
        <v>-9.1000000000000014</v>
      </c>
      <c r="M194" s="13">
        <f t="shared" si="15"/>
        <v>107.083</v>
      </c>
      <c r="N194" s="12">
        <f t="shared" si="16"/>
        <v>0.23423015508454184</v>
      </c>
      <c r="O194" s="22" t="str">
        <f t="shared" si="17"/>
        <v>ACIMA DA META (&gt;20%)</v>
      </c>
      <c r="P194" s="23"/>
    </row>
    <row r="195" spans="1:16" ht="15" hidden="1" customHeight="1" x14ac:dyDescent="0.25">
      <c r="A195" s="19" t="s">
        <v>172</v>
      </c>
      <c r="B195" s="19" t="s">
        <v>173</v>
      </c>
      <c r="C195" s="19" t="s">
        <v>97</v>
      </c>
      <c r="D195" s="20">
        <v>712.14</v>
      </c>
      <c r="E195" s="21">
        <v>0</v>
      </c>
      <c r="F195" s="20">
        <v>366.6</v>
      </c>
      <c r="G195" s="13">
        <v>98.18</v>
      </c>
      <c r="H195" s="13">
        <f t="shared" si="12"/>
        <v>712.14</v>
      </c>
      <c r="I195" s="12">
        <f t="shared" si="13"/>
        <v>0.13786614991434271</v>
      </c>
      <c r="J195" s="13">
        <f>IF(OR(B195="",C195=""),"",INDEX(Ref_Frete!$B$2:$G$54,MATCH(C195,Ref_Frete!$A$2:$A$54,0),IF(B195="Pequenos",2,IF(B195="Medios",4,6))))</f>
        <v>233</v>
      </c>
      <c r="K195" s="13">
        <f>IF(OR(B195="",C195=""),"",INDEX(Ref_Frete!$B$2:$G$54,MATCH(C195,Ref_Frete!$A$2:$A$54,0),IF(B195="Pequenos",1,IF(B195="Medios",3,5))))</f>
        <v>233</v>
      </c>
      <c r="L195" s="13">
        <f t="shared" si="14"/>
        <v>0</v>
      </c>
      <c r="M195" s="13">
        <f t="shared" si="15"/>
        <v>176.14600000000002</v>
      </c>
      <c r="N195" s="12">
        <f t="shared" si="16"/>
        <v>0.2473474316847811</v>
      </c>
      <c r="O195" s="22" t="str">
        <f t="shared" si="17"/>
        <v>ACIMA DA META (&gt;20%)</v>
      </c>
      <c r="P195" s="23"/>
    </row>
    <row r="196" spans="1:16" ht="15" hidden="1" customHeight="1" x14ac:dyDescent="0.25">
      <c r="A196" s="19" t="s">
        <v>172</v>
      </c>
      <c r="B196" s="19" t="s">
        <v>173</v>
      </c>
      <c r="C196" s="19" t="s">
        <v>98</v>
      </c>
      <c r="D196" s="20">
        <v>712.14</v>
      </c>
      <c r="E196" s="21">
        <v>0</v>
      </c>
      <c r="F196" s="20">
        <v>366.6</v>
      </c>
      <c r="G196" s="13">
        <v>98.18</v>
      </c>
      <c r="H196" s="13">
        <f t="shared" si="12"/>
        <v>712.14</v>
      </c>
      <c r="I196" s="12">
        <f t="shared" si="13"/>
        <v>0.13786614991434271</v>
      </c>
      <c r="J196" s="13">
        <f>IF(OR(B196="",C196=""),"",INDEX(Ref_Frete!$B$2:$G$54,MATCH(C196,Ref_Frete!$A$2:$A$54,0),IF(B196="Pequenos",2,IF(B196="Medios",4,6))))</f>
        <v>120</v>
      </c>
      <c r="K196" s="13">
        <f>IF(OR(B196="",C196=""),"",INDEX(Ref_Frete!$B$2:$G$54,MATCH(C196,Ref_Frete!$A$2:$A$54,0),IF(B196="Pequenos",1,IF(B196="Medios",3,5))))</f>
        <v>120</v>
      </c>
      <c r="L196" s="13">
        <f t="shared" si="14"/>
        <v>0</v>
      </c>
      <c r="M196" s="13">
        <f t="shared" si="15"/>
        <v>176.14600000000002</v>
      </c>
      <c r="N196" s="12">
        <f t="shared" si="16"/>
        <v>0.2473474316847811</v>
      </c>
      <c r="O196" s="22" t="str">
        <f t="shared" si="17"/>
        <v>ACIMA DA META (&gt;20%)</v>
      </c>
      <c r="P196" s="23"/>
    </row>
    <row r="197" spans="1:16" ht="15" hidden="1" customHeight="1" x14ac:dyDescent="0.25">
      <c r="A197" s="19" t="s">
        <v>174</v>
      </c>
      <c r="B197" s="19" t="s">
        <v>173</v>
      </c>
      <c r="C197" s="19" t="s">
        <v>97</v>
      </c>
      <c r="D197" s="20">
        <v>810.5</v>
      </c>
      <c r="E197" s="21">
        <v>0</v>
      </c>
      <c r="F197" s="20">
        <v>428.19</v>
      </c>
      <c r="G197" s="13">
        <v>109.88</v>
      </c>
      <c r="H197" s="13">
        <f t="shared" si="12"/>
        <v>810.5</v>
      </c>
      <c r="I197" s="12">
        <f t="shared" si="13"/>
        <v>0.13557063541024059</v>
      </c>
      <c r="J197" s="13">
        <f>IF(OR(B197="",C197=""),"",INDEX(Ref_Frete!$B$2:$G$54,MATCH(C197,Ref_Frete!$A$2:$A$54,0),IF(B197="Pequenos",2,IF(B197="Medios",4,6))))</f>
        <v>233</v>
      </c>
      <c r="K197" s="13">
        <f>IF(OR(B197="",C197=""),"",INDEX(Ref_Frete!$B$2:$G$54,MATCH(C197,Ref_Frete!$A$2:$A$54,0),IF(B197="Pequenos",1,IF(B197="Medios",3,5))))</f>
        <v>233</v>
      </c>
      <c r="L197" s="13">
        <f t="shared" si="14"/>
        <v>0</v>
      </c>
      <c r="M197" s="13">
        <f t="shared" si="15"/>
        <v>191.38</v>
      </c>
      <c r="N197" s="12">
        <f t="shared" si="16"/>
        <v>0.23612584824182603</v>
      </c>
      <c r="O197" s="22" t="str">
        <f t="shared" si="17"/>
        <v>ACIMA DA META (&gt;20%)</v>
      </c>
      <c r="P197" s="23"/>
    </row>
    <row r="198" spans="1:16" ht="15" hidden="1" customHeight="1" x14ac:dyDescent="0.25">
      <c r="A198" s="19" t="s">
        <v>174</v>
      </c>
      <c r="B198" s="19" t="s">
        <v>173</v>
      </c>
      <c r="C198" s="19" t="s">
        <v>98</v>
      </c>
      <c r="D198" s="20">
        <v>810.5</v>
      </c>
      <c r="E198" s="21">
        <v>0</v>
      </c>
      <c r="F198" s="20">
        <v>428.19</v>
      </c>
      <c r="G198" s="13">
        <v>109.88</v>
      </c>
      <c r="H198" s="13">
        <f t="shared" si="12"/>
        <v>810.5</v>
      </c>
      <c r="I198" s="12">
        <f t="shared" si="13"/>
        <v>0.13557063541024059</v>
      </c>
      <c r="J198" s="13">
        <f>IF(OR(B198="",C198=""),"",INDEX(Ref_Frete!$B$2:$G$54,MATCH(C198,Ref_Frete!$A$2:$A$54,0),IF(B198="Pequenos",2,IF(B198="Medios",4,6))))</f>
        <v>120</v>
      </c>
      <c r="K198" s="13">
        <f>IF(OR(B198="",C198=""),"",INDEX(Ref_Frete!$B$2:$G$54,MATCH(C198,Ref_Frete!$A$2:$A$54,0),IF(B198="Pequenos",1,IF(B198="Medios",3,5))))</f>
        <v>120</v>
      </c>
      <c r="L198" s="13">
        <f t="shared" si="14"/>
        <v>0</v>
      </c>
      <c r="M198" s="13">
        <f t="shared" si="15"/>
        <v>191.38</v>
      </c>
      <c r="N198" s="12">
        <f t="shared" si="16"/>
        <v>0.23612584824182603</v>
      </c>
      <c r="O198" s="22" t="str">
        <f t="shared" si="17"/>
        <v>ACIMA DA META (&gt;20%)</v>
      </c>
      <c r="P198" s="23"/>
    </row>
    <row r="199" spans="1:16" ht="15" hidden="1" customHeight="1" x14ac:dyDescent="0.25">
      <c r="A199" s="19" t="s">
        <v>54</v>
      </c>
      <c r="B199" s="19" t="s">
        <v>173</v>
      </c>
      <c r="C199" s="19" t="s">
        <v>97</v>
      </c>
      <c r="D199" s="20">
        <v>814.08</v>
      </c>
      <c r="E199" s="21">
        <v>0</v>
      </c>
      <c r="F199" s="20">
        <v>400.17</v>
      </c>
      <c r="G199" s="13">
        <v>110.41</v>
      </c>
      <c r="H199" s="13">
        <f t="shared" ref="H199:H232" si="18">IF(D199="","",D199*(1-E199))</f>
        <v>814.08</v>
      </c>
      <c r="I199" s="12">
        <f t="shared" ref="I199:I232" si="19">IF(OR(G199="",H199=""),"",G199/H199)</f>
        <v>0.13562549135220126</v>
      </c>
      <c r="J199" s="13">
        <f>IF(OR(B199="",C199=""),"",INDEX(Ref_Frete!$B$2:$G$54,MATCH(C199,Ref_Frete!$A$2:$A$54,0),IF(B199="Pequenos",2,IF(B199="Medios",4,6))))</f>
        <v>233</v>
      </c>
      <c r="K199" s="13">
        <f>IF(OR(B199="",C199=""),"",INDEX(Ref_Frete!$B$2:$G$54,MATCH(C199,Ref_Frete!$A$2:$A$54,0),IF(B199="Pequenos",1,IF(B199="Medios",3,5))))</f>
        <v>233</v>
      </c>
      <c r="L199" s="13">
        <f t="shared" ref="L199:L232" si="20">IF(OR(J199="",K199=""),"",J199-K199)</f>
        <v>0</v>
      </c>
      <c r="M199" s="13">
        <f t="shared" ref="M199:M232" si="21">IF(OR(H199="",F199="",G199=""),"",H199-G199-F199-H199*$B$3+IF(L199="",0,L199))</f>
        <v>222.09200000000004</v>
      </c>
      <c r="N199" s="12">
        <f t="shared" ref="N199:N232" si="22">IF(OR(M199="",H199=0,H199=""),"",M199/H199)</f>
        <v>0.27281348270440253</v>
      </c>
      <c r="O199" s="22" t="str">
        <f t="shared" ref="O199:O232" si="23">IF(N199="","",IF(N199&lt;0,"PREJUÍZO",IF(N199&lt;0.1,"CRÍTICO (&lt;10%)",IF(N199&lt;0.15,"ABAIXO DA META (10-15%)",IF(N199&lt;=0.2,"DENTRO DA META (15-20%)","ACIMA DA META (&gt;20%)")))))</f>
        <v>ACIMA DA META (&gt;20%)</v>
      </c>
      <c r="P199" s="23"/>
    </row>
    <row r="200" spans="1:16" ht="15" hidden="1" customHeight="1" x14ac:dyDescent="0.25">
      <c r="A200" s="19" t="s">
        <v>54</v>
      </c>
      <c r="B200" s="19" t="s">
        <v>173</v>
      </c>
      <c r="C200" s="19" t="s">
        <v>98</v>
      </c>
      <c r="D200" s="20">
        <v>814.08</v>
      </c>
      <c r="E200" s="21">
        <v>0</v>
      </c>
      <c r="F200" s="20">
        <v>400.17</v>
      </c>
      <c r="G200" s="13">
        <v>110.41</v>
      </c>
      <c r="H200" s="13">
        <f t="shared" si="18"/>
        <v>814.08</v>
      </c>
      <c r="I200" s="12">
        <f t="shared" si="19"/>
        <v>0.13562549135220126</v>
      </c>
      <c r="J200" s="13">
        <f>IF(OR(B200="",C200=""),"",INDEX(Ref_Frete!$B$2:$G$54,MATCH(C200,Ref_Frete!$A$2:$A$54,0),IF(B200="Pequenos",2,IF(B200="Medios",4,6))))</f>
        <v>120</v>
      </c>
      <c r="K200" s="13">
        <f>IF(OR(B200="",C200=""),"",INDEX(Ref_Frete!$B$2:$G$54,MATCH(C200,Ref_Frete!$A$2:$A$54,0),IF(B200="Pequenos",1,IF(B200="Medios",3,5))))</f>
        <v>120</v>
      </c>
      <c r="L200" s="13">
        <f t="shared" si="20"/>
        <v>0</v>
      </c>
      <c r="M200" s="13">
        <f t="shared" si="21"/>
        <v>222.09200000000004</v>
      </c>
      <c r="N200" s="12">
        <f t="shared" si="22"/>
        <v>0.27281348270440253</v>
      </c>
      <c r="O200" s="22" t="str">
        <f t="shared" si="23"/>
        <v>ACIMA DA META (&gt;20%)</v>
      </c>
      <c r="P200" s="23"/>
    </row>
    <row r="201" spans="1:16" ht="15" hidden="1" customHeight="1" x14ac:dyDescent="0.25">
      <c r="A201" s="19" t="s">
        <v>62</v>
      </c>
      <c r="B201" s="19" t="s">
        <v>173</v>
      </c>
      <c r="C201" s="19" t="s">
        <v>97</v>
      </c>
      <c r="D201" s="20">
        <v>831.06</v>
      </c>
      <c r="E201" s="21">
        <v>0</v>
      </c>
      <c r="F201" s="20">
        <v>428.19</v>
      </c>
      <c r="G201" s="13">
        <v>112.45</v>
      </c>
      <c r="H201" s="13">
        <f t="shared" si="18"/>
        <v>831.06</v>
      </c>
      <c r="I201" s="12">
        <f t="shared" si="19"/>
        <v>0.13530912328833058</v>
      </c>
      <c r="J201" s="13">
        <f>IF(OR(B201="",C201=""),"",INDEX(Ref_Frete!$B$2:$G$54,MATCH(C201,Ref_Frete!$A$2:$A$54,0),IF(B201="Pequenos",2,IF(B201="Medios",4,6))))</f>
        <v>233</v>
      </c>
      <c r="K201" s="13">
        <f>IF(OR(B201="",C201=""),"",INDEX(Ref_Frete!$B$2:$G$54,MATCH(C201,Ref_Frete!$A$2:$A$54,0),IF(B201="Pequenos",1,IF(B201="Medios",3,5))))</f>
        <v>233</v>
      </c>
      <c r="L201" s="13">
        <f t="shared" si="20"/>
        <v>0</v>
      </c>
      <c r="M201" s="13">
        <f t="shared" si="21"/>
        <v>207.31399999999991</v>
      </c>
      <c r="N201" s="12">
        <f t="shared" si="22"/>
        <v>0.24945731956778081</v>
      </c>
      <c r="O201" s="22" t="str">
        <f t="shared" si="23"/>
        <v>ACIMA DA META (&gt;20%)</v>
      </c>
      <c r="P201" s="23"/>
    </row>
    <row r="202" spans="1:16" ht="15" hidden="1" customHeight="1" x14ac:dyDescent="0.25">
      <c r="A202" s="19" t="s">
        <v>62</v>
      </c>
      <c r="B202" s="19" t="s">
        <v>173</v>
      </c>
      <c r="C202" s="19" t="s">
        <v>98</v>
      </c>
      <c r="D202" s="20">
        <v>831.06</v>
      </c>
      <c r="E202" s="21">
        <v>0</v>
      </c>
      <c r="F202" s="20">
        <v>428.19</v>
      </c>
      <c r="G202" s="13">
        <v>112.45</v>
      </c>
      <c r="H202" s="13">
        <f t="shared" si="18"/>
        <v>831.06</v>
      </c>
      <c r="I202" s="12">
        <f t="shared" si="19"/>
        <v>0.13530912328833058</v>
      </c>
      <c r="J202" s="13">
        <f>IF(OR(B202="",C202=""),"",INDEX(Ref_Frete!$B$2:$G$54,MATCH(C202,Ref_Frete!$A$2:$A$54,0),IF(B202="Pequenos",2,IF(B202="Medios",4,6))))</f>
        <v>120</v>
      </c>
      <c r="K202" s="13">
        <f>IF(OR(B202="",C202=""),"",INDEX(Ref_Frete!$B$2:$G$54,MATCH(C202,Ref_Frete!$A$2:$A$54,0),IF(B202="Pequenos",1,IF(B202="Medios",3,5))))</f>
        <v>120</v>
      </c>
      <c r="L202" s="13">
        <f t="shared" si="20"/>
        <v>0</v>
      </c>
      <c r="M202" s="13">
        <f t="shared" si="21"/>
        <v>207.31399999999991</v>
      </c>
      <c r="N202" s="12">
        <f t="shared" si="22"/>
        <v>0.24945731956778081</v>
      </c>
      <c r="O202" s="22" t="str">
        <f t="shared" si="23"/>
        <v>ACIMA DA META (&gt;20%)</v>
      </c>
      <c r="P202" s="23"/>
    </row>
    <row r="203" spans="1:16" ht="15" hidden="1" customHeight="1" x14ac:dyDescent="0.25">
      <c r="A203" s="19" t="s">
        <v>55</v>
      </c>
      <c r="B203" s="19" t="s">
        <v>173</v>
      </c>
      <c r="C203" s="19" t="s">
        <v>97</v>
      </c>
      <c r="D203" s="20">
        <v>822.83</v>
      </c>
      <c r="E203" s="21">
        <v>0</v>
      </c>
      <c r="F203" s="20">
        <v>405.39</v>
      </c>
      <c r="G203" s="13">
        <v>111.46</v>
      </c>
      <c r="H203" s="13">
        <f t="shared" si="18"/>
        <v>822.83</v>
      </c>
      <c r="I203" s="12">
        <f t="shared" si="19"/>
        <v>0.1354593293876013</v>
      </c>
      <c r="J203" s="13">
        <f>IF(OR(B203="",C203=""),"",INDEX(Ref_Frete!$B$2:$G$54,MATCH(C203,Ref_Frete!$A$2:$A$54,0),IF(B203="Pequenos",2,IF(B203="Medios",4,6))))</f>
        <v>233</v>
      </c>
      <c r="K203" s="13">
        <f>IF(OR(B203="",C203=""),"",INDEX(Ref_Frete!$B$2:$G$54,MATCH(C203,Ref_Frete!$A$2:$A$54,0),IF(B203="Pequenos",1,IF(B203="Medios",3,5))))</f>
        <v>233</v>
      </c>
      <c r="L203" s="13">
        <f t="shared" si="20"/>
        <v>0</v>
      </c>
      <c r="M203" s="13">
        <f t="shared" si="21"/>
        <v>223.697</v>
      </c>
      <c r="N203" s="12">
        <f t="shared" si="22"/>
        <v>0.27186296075738609</v>
      </c>
      <c r="O203" s="22" t="str">
        <f t="shared" si="23"/>
        <v>ACIMA DA META (&gt;20%)</v>
      </c>
      <c r="P203" s="23"/>
    </row>
    <row r="204" spans="1:16" ht="15" hidden="1" customHeight="1" x14ac:dyDescent="0.25">
      <c r="A204" s="19" t="s">
        <v>55</v>
      </c>
      <c r="B204" s="19" t="s">
        <v>173</v>
      </c>
      <c r="C204" s="19" t="s">
        <v>98</v>
      </c>
      <c r="D204" s="20">
        <v>822.83</v>
      </c>
      <c r="E204" s="21">
        <v>0</v>
      </c>
      <c r="F204" s="20">
        <v>405.39</v>
      </c>
      <c r="G204" s="13">
        <v>111.46</v>
      </c>
      <c r="H204" s="13">
        <f t="shared" si="18"/>
        <v>822.83</v>
      </c>
      <c r="I204" s="12">
        <f t="shared" si="19"/>
        <v>0.1354593293876013</v>
      </c>
      <c r="J204" s="13">
        <f>IF(OR(B204="",C204=""),"",INDEX(Ref_Frete!$B$2:$G$54,MATCH(C204,Ref_Frete!$A$2:$A$54,0),IF(B204="Pequenos",2,IF(B204="Medios",4,6))))</f>
        <v>120</v>
      </c>
      <c r="K204" s="13">
        <f>IF(OR(B204="",C204=""),"",INDEX(Ref_Frete!$B$2:$G$54,MATCH(C204,Ref_Frete!$A$2:$A$54,0),IF(B204="Pequenos",1,IF(B204="Medios",3,5))))</f>
        <v>120</v>
      </c>
      <c r="L204" s="13">
        <f t="shared" si="20"/>
        <v>0</v>
      </c>
      <c r="M204" s="13">
        <f t="shared" si="21"/>
        <v>223.697</v>
      </c>
      <c r="N204" s="12">
        <f t="shared" si="22"/>
        <v>0.27186296075738609</v>
      </c>
      <c r="O204" s="22" t="str">
        <f t="shared" si="23"/>
        <v>ACIMA DA META (&gt;20%)</v>
      </c>
      <c r="P204" s="23"/>
    </row>
    <row r="205" spans="1:16" ht="15" hidden="1" customHeight="1" x14ac:dyDescent="0.25">
      <c r="A205" s="19" t="s">
        <v>175</v>
      </c>
      <c r="B205" s="19" t="s">
        <v>173</v>
      </c>
      <c r="C205" s="19" t="s">
        <v>97</v>
      </c>
      <c r="D205" s="20">
        <v>895.15</v>
      </c>
      <c r="E205" s="21">
        <v>0</v>
      </c>
      <c r="F205" s="20">
        <v>468.32</v>
      </c>
      <c r="G205" s="13">
        <v>120.14</v>
      </c>
      <c r="H205" s="13">
        <f t="shared" si="18"/>
        <v>895.15</v>
      </c>
      <c r="I205" s="12">
        <f t="shared" si="19"/>
        <v>0.13421214321622074</v>
      </c>
      <c r="J205" s="13">
        <f>IF(OR(B205="",C205=""),"",INDEX(Ref_Frete!$B$2:$G$54,MATCH(C205,Ref_Frete!$A$2:$A$54,0),IF(B205="Pequenos",2,IF(B205="Medios",4,6))))</f>
        <v>233</v>
      </c>
      <c r="K205" s="13">
        <f>IF(OR(B205="",C205=""),"",INDEX(Ref_Frete!$B$2:$G$54,MATCH(C205,Ref_Frete!$A$2:$A$54,0),IF(B205="Pequenos",1,IF(B205="Medios",3,5))))</f>
        <v>233</v>
      </c>
      <c r="L205" s="13">
        <f t="shared" si="20"/>
        <v>0</v>
      </c>
      <c r="M205" s="13">
        <f t="shared" si="21"/>
        <v>217.17500000000001</v>
      </c>
      <c r="N205" s="12">
        <f t="shared" si="22"/>
        <v>0.24261296989331399</v>
      </c>
      <c r="O205" s="22" t="str">
        <f t="shared" si="23"/>
        <v>ACIMA DA META (&gt;20%)</v>
      </c>
      <c r="P205" s="23"/>
    </row>
    <row r="206" spans="1:16" ht="15" hidden="1" customHeight="1" x14ac:dyDescent="0.25">
      <c r="A206" s="19" t="s">
        <v>175</v>
      </c>
      <c r="B206" s="19" t="s">
        <v>173</v>
      </c>
      <c r="C206" s="19" t="s">
        <v>98</v>
      </c>
      <c r="D206" s="20">
        <v>895.15</v>
      </c>
      <c r="E206" s="21">
        <v>0</v>
      </c>
      <c r="F206" s="20">
        <v>468.32</v>
      </c>
      <c r="G206" s="13">
        <v>120.14</v>
      </c>
      <c r="H206" s="13">
        <f t="shared" si="18"/>
        <v>895.15</v>
      </c>
      <c r="I206" s="12">
        <f t="shared" si="19"/>
        <v>0.13421214321622074</v>
      </c>
      <c r="J206" s="13">
        <f>IF(OR(B206="",C206=""),"",INDEX(Ref_Frete!$B$2:$G$54,MATCH(C206,Ref_Frete!$A$2:$A$54,0),IF(B206="Pequenos",2,IF(B206="Medios",4,6))))</f>
        <v>120</v>
      </c>
      <c r="K206" s="13">
        <f>IF(OR(B206="",C206=""),"",INDEX(Ref_Frete!$B$2:$G$54,MATCH(C206,Ref_Frete!$A$2:$A$54,0),IF(B206="Pequenos",1,IF(B206="Medios",3,5))))</f>
        <v>120</v>
      </c>
      <c r="L206" s="13">
        <f t="shared" si="20"/>
        <v>0</v>
      </c>
      <c r="M206" s="13">
        <f t="shared" si="21"/>
        <v>217.17500000000001</v>
      </c>
      <c r="N206" s="12">
        <f t="shared" si="22"/>
        <v>0.24261296989331399</v>
      </c>
      <c r="O206" s="22" t="str">
        <f t="shared" si="23"/>
        <v>ACIMA DA META (&gt;20%)</v>
      </c>
      <c r="P206" s="23"/>
    </row>
    <row r="207" spans="1:16" ht="15" hidden="1" customHeight="1" x14ac:dyDescent="0.25">
      <c r="A207" s="19" t="s">
        <v>59</v>
      </c>
      <c r="B207" s="19" t="s">
        <v>173</v>
      </c>
      <c r="C207" s="19" t="s">
        <v>97</v>
      </c>
      <c r="D207" s="20">
        <v>820.96</v>
      </c>
      <c r="E207" s="21">
        <v>0</v>
      </c>
      <c r="F207" s="20">
        <v>416.62</v>
      </c>
      <c r="G207" s="13">
        <v>111.24</v>
      </c>
      <c r="H207" s="13">
        <f t="shared" si="18"/>
        <v>820.96</v>
      </c>
      <c r="I207" s="12">
        <f t="shared" si="19"/>
        <v>0.13549990255310854</v>
      </c>
      <c r="J207" s="13">
        <f>IF(OR(B207="",C207=""),"",INDEX(Ref_Frete!$B$2:$G$54,MATCH(C207,Ref_Frete!$A$2:$A$54,0),IF(B207="Pequenos",2,IF(B207="Medios",4,6))))</f>
        <v>233</v>
      </c>
      <c r="K207" s="13">
        <f>IF(OR(B207="",C207=""),"",INDEX(Ref_Frete!$B$2:$G$54,MATCH(C207,Ref_Frete!$A$2:$A$54,0),IF(B207="Pequenos",1,IF(B207="Medios",3,5))))</f>
        <v>233</v>
      </c>
      <c r="L207" s="13">
        <f t="shared" si="20"/>
        <v>0</v>
      </c>
      <c r="M207" s="13">
        <f t="shared" si="21"/>
        <v>211.00400000000002</v>
      </c>
      <c r="N207" s="12">
        <f t="shared" si="22"/>
        <v>0.25702104852855195</v>
      </c>
      <c r="O207" s="22" t="str">
        <f t="shared" si="23"/>
        <v>ACIMA DA META (&gt;20%)</v>
      </c>
      <c r="P207" s="23"/>
    </row>
    <row r="208" spans="1:16" ht="15" hidden="1" customHeight="1" x14ac:dyDescent="0.25">
      <c r="A208" s="19" t="s">
        <v>59</v>
      </c>
      <c r="B208" s="19" t="s">
        <v>173</v>
      </c>
      <c r="C208" s="19" t="s">
        <v>98</v>
      </c>
      <c r="D208" s="20">
        <v>820.96</v>
      </c>
      <c r="E208" s="21">
        <v>0</v>
      </c>
      <c r="F208" s="20">
        <v>416.62</v>
      </c>
      <c r="G208" s="13">
        <v>111.24</v>
      </c>
      <c r="H208" s="13">
        <f t="shared" si="18"/>
        <v>820.96</v>
      </c>
      <c r="I208" s="12">
        <f t="shared" si="19"/>
        <v>0.13549990255310854</v>
      </c>
      <c r="J208" s="13">
        <f>IF(OR(B208="",C208=""),"",INDEX(Ref_Frete!$B$2:$G$54,MATCH(C208,Ref_Frete!$A$2:$A$54,0),IF(B208="Pequenos",2,IF(B208="Medios",4,6))))</f>
        <v>120</v>
      </c>
      <c r="K208" s="13">
        <f>IF(OR(B208="",C208=""),"",INDEX(Ref_Frete!$B$2:$G$54,MATCH(C208,Ref_Frete!$A$2:$A$54,0),IF(B208="Pequenos",1,IF(B208="Medios",3,5))))</f>
        <v>120</v>
      </c>
      <c r="L208" s="13">
        <f t="shared" si="20"/>
        <v>0</v>
      </c>
      <c r="M208" s="13">
        <f t="shared" si="21"/>
        <v>211.00400000000002</v>
      </c>
      <c r="N208" s="12">
        <f t="shared" si="22"/>
        <v>0.25702104852855195</v>
      </c>
      <c r="O208" s="22" t="str">
        <f t="shared" si="23"/>
        <v>ACIMA DA META (&gt;20%)</v>
      </c>
      <c r="P208" s="23"/>
    </row>
    <row r="209" spans="1:16" ht="15" hidden="1" customHeight="1" x14ac:dyDescent="0.25">
      <c r="A209" s="19" t="s">
        <v>176</v>
      </c>
      <c r="B209" s="19" t="s">
        <v>173</v>
      </c>
      <c r="C209" s="19" t="s">
        <v>97</v>
      </c>
      <c r="D209" s="20">
        <v>1025.83</v>
      </c>
      <c r="E209" s="21">
        <v>0</v>
      </c>
      <c r="F209" s="20">
        <v>539.53</v>
      </c>
      <c r="G209" s="13">
        <v>135.82</v>
      </c>
      <c r="H209" s="13">
        <f t="shared" si="18"/>
        <v>1025.83</v>
      </c>
      <c r="I209" s="12">
        <f t="shared" si="19"/>
        <v>0.13240010528060206</v>
      </c>
      <c r="J209" s="13">
        <f>IF(OR(B209="",C209=""),"",INDEX(Ref_Frete!$B$2:$G$54,MATCH(C209,Ref_Frete!$A$2:$A$54,0),IF(B209="Pequenos",2,IF(B209="Medios",4,6))))</f>
        <v>233</v>
      </c>
      <c r="K209" s="13">
        <f>IF(OR(B209="",C209=""),"",INDEX(Ref_Frete!$B$2:$G$54,MATCH(C209,Ref_Frete!$A$2:$A$54,0),IF(B209="Pequenos",1,IF(B209="Medios",3,5))))</f>
        <v>233</v>
      </c>
      <c r="L209" s="13">
        <f t="shared" si="20"/>
        <v>0</v>
      </c>
      <c r="M209" s="13">
        <f t="shared" si="21"/>
        <v>247.89700000000002</v>
      </c>
      <c r="N209" s="12">
        <f t="shared" si="22"/>
        <v>0.24165505005702703</v>
      </c>
      <c r="O209" s="22" t="str">
        <f t="shared" si="23"/>
        <v>ACIMA DA META (&gt;20%)</v>
      </c>
      <c r="P209" s="23"/>
    </row>
    <row r="210" spans="1:16" ht="15" hidden="1" customHeight="1" x14ac:dyDescent="0.25">
      <c r="A210" s="19" t="s">
        <v>176</v>
      </c>
      <c r="B210" s="19" t="s">
        <v>173</v>
      </c>
      <c r="C210" s="19" t="s">
        <v>98</v>
      </c>
      <c r="D210" s="20">
        <v>1025.83</v>
      </c>
      <c r="E210" s="21">
        <v>0</v>
      </c>
      <c r="F210" s="20">
        <v>539.53</v>
      </c>
      <c r="G210" s="13">
        <v>135.82</v>
      </c>
      <c r="H210" s="13">
        <f t="shared" si="18"/>
        <v>1025.83</v>
      </c>
      <c r="I210" s="12">
        <f t="shared" si="19"/>
        <v>0.13240010528060206</v>
      </c>
      <c r="J210" s="13">
        <f>IF(OR(B210="",C210=""),"",INDEX(Ref_Frete!$B$2:$G$54,MATCH(C210,Ref_Frete!$A$2:$A$54,0),IF(B210="Pequenos",2,IF(B210="Medios",4,6))))</f>
        <v>120</v>
      </c>
      <c r="K210" s="13">
        <f>IF(OR(B210="",C210=""),"",INDEX(Ref_Frete!$B$2:$G$54,MATCH(C210,Ref_Frete!$A$2:$A$54,0),IF(B210="Pequenos",1,IF(B210="Medios",3,5))))</f>
        <v>120</v>
      </c>
      <c r="L210" s="13">
        <f t="shared" si="20"/>
        <v>0</v>
      </c>
      <c r="M210" s="13">
        <f t="shared" si="21"/>
        <v>247.89700000000002</v>
      </c>
      <c r="N210" s="12">
        <f t="shared" si="22"/>
        <v>0.24165505005702703</v>
      </c>
      <c r="O210" s="22" t="str">
        <f t="shared" si="23"/>
        <v>ACIMA DA META (&gt;20%)</v>
      </c>
      <c r="P210" s="23"/>
    </row>
    <row r="211" spans="1:16" ht="15" hidden="1" customHeight="1" x14ac:dyDescent="0.25">
      <c r="A211" s="19" t="s">
        <v>177</v>
      </c>
      <c r="B211" s="19" t="s">
        <v>173</v>
      </c>
      <c r="C211" s="19" t="s">
        <v>97</v>
      </c>
      <c r="D211" s="20">
        <v>1290.49</v>
      </c>
      <c r="E211" s="21">
        <v>0</v>
      </c>
      <c r="F211" s="20">
        <v>698.31</v>
      </c>
      <c r="G211" s="13">
        <v>167.58</v>
      </c>
      <c r="H211" s="13">
        <f t="shared" si="18"/>
        <v>1290.49</v>
      </c>
      <c r="I211" s="12">
        <f t="shared" si="19"/>
        <v>0.12985765096978669</v>
      </c>
      <c r="J211" s="13">
        <f>IF(OR(B211="",C211=""),"",INDEX(Ref_Frete!$B$2:$G$54,MATCH(C211,Ref_Frete!$A$2:$A$54,0),IF(B211="Pequenos",2,IF(B211="Medios",4,6))))</f>
        <v>233</v>
      </c>
      <c r="K211" s="13">
        <f>IF(OR(B211="",C211=""),"",INDEX(Ref_Frete!$B$2:$G$54,MATCH(C211,Ref_Frete!$A$2:$A$54,0),IF(B211="Pequenos",1,IF(B211="Medios",3,5))))</f>
        <v>233</v>
      </c>
      <c r="L211" s="13">
        <f t="shared" si="20"/>
        <v>0</v>
      </c>
      <c r="M211" s="13">
        <f t="shared" si="21"/>
        <v>295.55100000000016</v>
      </c>
      <c r="N211" s="12">
        <f t="shared" si="22"/>
        <v>0.22902230935536128</v>
      </c>
      <c r="O211" s="22" t="str">
        <f t="shared" si="23"/>
        <v>ACIMA DA META (&gt;20%)</v>
      </c>
      <c r="P211" s="23"/>
    </row>
    <row r="212" spans="1:16" ht="15" hidden="1" customHeight="1" x14ac:dyDescent="0.25">
      <c r="A212" s="19" t="s">
        <v>177</v>
      </c>
      <c r="B212" s="19" t="s">
        <v>173</v>
      </c>
      <c r="C212" s="19" t="s">
        <v>98</v>
      </c>
      <c r="D212" s="20">
        <v>1290.49</v>
      </c>
      <c r="E212" s="21">
        <v>0</v>
      </c>
      <c r="F212" s="20">
        <v>698.31</v>
      </c>
      <c r="G212" s="13">
        <v>167.58</v>
      </c>
      <c r="H212" s="13">
        <f t="shared" si="18"/>
        <v>1290.49</v>
      </c>
      <c r="I212" s="12">
        <f t="shared" si="19"/>
        <v>0.12985765096978669</v>
      </c>
      <c r="J212" s="13">
        <f>IF(OR(B212="",C212=""),"",INDEX(Ref_Frete!$B$2:$G$54,MATCH(C212,Ref_Frete!$A$2:$A$54,0),IF(B212="Pequenos",2,IF(B212="Medios",4,6))))</f>
        <v>120</v>
      </c>
      <c r="K212" s="13">
        <f>IF(OR(B212="",C212=""),"",INDEX(Ref_Frete!$B$2:$G$54,MATCH(C212,Ref_Frete!$A$2:$A$54,0),IF(B212="Pequenos",1,IF(B212="Medios",3,5))))</f>
        <v>120</v>
      </c>
      <c r="L212" s="13">
        <f t="shared" si="20"/>
        <v>0</v>
      </c>
      <c r="M212" s="13">
        <f t="shared" si="21"/>
        <v>295.55100000000016</v>
      </c>
      <c r="N212" s="12">
        <f t="shared" si="22"/>
        <v>0.22902230935536128</v>
      </c>
      <c r="O212" s="22" t="str">
        <f t="shared" si="23"/>
        <v>ACIMA DA META (&gt;20%)</v>
      </c>
      <c r="P212" s="23"/>
    </row>
    <row r="213" spans="1:16" ht="15" hidden="1" customHeight="1" x14ac:dyDescent="0.25">
      <c r="A213" s="19" t="s">
        <v>178</v>
      </c>
      <c r="B213" s="19" t="s">
        <v>173</v>
      </c>
      <c r="C213" s="19" t="s">
        <v>97</v>
      </c>
      <c r="D213" s="20">
        <v>923.64</v>
      </c>
      <c r="E213" s="21">
        <v>0</v>
      </c>
      <c r="F213" s="20">
        <v>478.21</v>
      </c>
      <c r="G213" s="13">
        <v>123.56</v>
      </c>
      <c r="H213" s="13">
        <f t="shared" si="18"/>
        <v>923.64</v>
      </c>
      <c r="I213" s="12">
        <f t="shared" si="19"/>
        <v>0.13377506387770127</v>
      </c>
      <c r="J213" s="13">
        <f>IF(OR(B213="",C213=""),"",INDEX(Ref_Frete!$B$2:$G$54,MATCH(C213,Ref_Frete!$A$2:$A$54,0),IF(B213="Pequenos",2,IF(B213="Medios",4,6))))</f>
        <v>233</v>
      </c>
      <c r="K213" s="13">
        <f>IF(OR(B213="",C213=""),"",INDEX(Ref_Frete!$B$2:$G$54,MATCH(C213,Ref_Frete!$A$2:$A$54,0),IF(B213="Pequenos",1,IF(B213="Medios",3,5))))</f>
        <v>233</v>
      </c>
      <c r="L213" s="13">
        <f t="shared" si="20"/>
        <v>0</v>
      </c>
      <c r="M213" s="13">
        <f t="shared" si="21"/>
        <v>229.50599999999994</v>
      </c>
      <c r="N213" s="12">
        <f t="shared" si="22"/>
        <v>0.24847992724438087</v>
      </c>
      <c r="O213" s="22" t="str">
        <f t="shared" si="23"/>
        <v>ACIMA DA META (&gt;20%)</v>
      </c>
      <c r="P213" s="23"/>
    </row>
    <row r="214" spans="1:16" ht="15" hidden="1" customHeight="1" x14ac:dyDescent="0.25">
      <c r="A214" s="19" t="s">
        <v>178</v>
      </c>
      <c r="B214" s="19" t="s">
        <v>173</v>
      </c>
      <c r="C214" s="19" t="s">
        <v>98</v>
      </c>
      <c r="D214" s="20">
        <v>923.64</v>
      </c>
      <c r="E214" s="21">
        <v>0</v>
      </c>
      <c r="F214" s="20">
        <v>478.21</v>
      </c>
      <c r="G214" s="13">
        <v>123.56</v>
      </c>
      <c r="H214" s="13">
        <f t="shared" si="18"/>
        <v>923.64</v>
      </c>
      <c r="I214" s="12">
        <f t="shared" si="19"/>
        <v>0.13377506387770127</v>
      </c>
      <c r="J214" s="13">
        <f>IF(OR(B214="",C214=""),"",INDEX(Ref_Frete!$B$2:$G$54,MATCH(C214,Ref_Frete!$A$2:$A$54,0),IF(B214="Pequenos",2,IF(B214="Medios",4,6))))</f>
        <v>120</v>
      </c>
      <c r="K214" s="13">
        <f>IF(OR(B214="",C214=""),"",INDEX(Ref_Frete!$B$2:$G$54,MATCH(C214,Ref_Frete!$A$2:$A$54,0),IF(B214="Pequenos",1,IF(B214="Medios",3,5))))</f>
        <v>120</v>
      </c>
      <c r="L214" s="13">
        <f t="shared" si="20"/>
        <v>0</v>
      </c>
      <c r="M214" s="13">
        <f t="shared" si="21"/>
        <v>229.50599999999994</v>
      </c>
      <c r="N214" s="12">
        <f t="shared" si="22"/>
        <v>0.24847992724438087</v>
      </c>
      <c r="O214" s="22" t="str">
        <f t="shared" si="23"/>
        <v>ACIMA DA META (&gt;20%)</v>
      </c>
      <c r="P214" s="23"/>
    </row>
    <row r="215" spans="1:16" ht="15" hidden="1" customHeight="1" x14ac:dyDescent="0.25">
      <c r="A215" s="19" t="s">
        <v>179</v>
      </c>
      <c r="B215" s="19" t="s">
        <v>173</v>
      </c>
      <c r="C215" s="19" t="s">
        <v>97</v>
      </c>
      <c r="D215" s="20">
        <v>1135.46</v>
      </c>
      <c r="E215" s="21">
        <v>0</v>
      </c>
      <c r="F215" s="20">
        <v>605.28</v>
      </c>
      <c r="G215" s="13">
        <v>148.97999999999999</v>
      </c>
      <c r="H215" s="13">
        <f t="shared" si="18"/>
        <v>1135.46</v>
      </c>
      <c r="I215" s="12">
        <f t="shared" si="19"/>
        <v>0.13120673559614604</v>
      </c>
      <c r="J215" s="13">
        <f>IF(OR(B215="",C215=""),"",INDEX(Ref_Frete!$B$2:$G$54,MATCH(C215,Ref_Frete!$A$2:$A$54,0),IF(B215="Pequenos",2,IF(B215="Medios",4,6))))</f>
        <v>233</v>
      </c>
      <c r="K215" s="13">
        <f>IF(OR(B215="",C215=""),"",INDEX(Ref_Frete!$B$2:$G$54,MATCH(C215,Ref_Frete!$A$2:$A$54,0),IF(B215="Pequenos",1,IF(B215="Medios",3,5))))</f>
        <v>233</v>
      </c>
      <c r="L215" s="13">
        <f t="shared" si="20"/>
        <v>0</v>
      </c>
      <c r="M215" s="13">
        <f t="shared" si="21"/>
        <v>267.65400000000005</v>
      </c>
      <c r="N215" s="12">
        <f t="shared" si="22"/>
        <v>0.23572296690328154</v>
      </c>
      <c r="O215" s="22" t="str">
        <f t="shared" si="23"/>
        <v>ACIMA DA META (&gt;20%)</v>
      </c>
      <c r="P215" s="23"/>
    </row>
    <row r="216" spans="1:16" ht="15" hidden="1" customHeight="1" x14ac:dyDescent="0.25">
      <c r="A216" s="19" t="s">
        <v>179</v>
      </c>
      <c r="B216" s="19" t="s">
        <v>173</v>
      </c>
      <c r="C216" s="19" t="s">
        <v>98</v>
      </c>
      <c r="D216" s="20">
        <v>1135.46</v>
      </c>
      <c r="E216" s="21">
        <v>0</v>
      </c>
      <c r="F216" s="20">
        <v>605.28</v>
      </c>
      <c r="G216" s="13">
        <v>148.97999999999999</v>
      </c>
      <c r="H216" s="13">
        <f t="shared" si="18"/>
        <v>1135.46</v>
      </c>
      <c r="I216" s="12">
        <f t="shared" si="19"/>
        <v>0.13120673559614604</v>
      </c>
      <c r="J216" s="13">
        <f>IF(OR(B216="",C216=""),"",INDEX(Ref_Frete!$B$2:$G$54,MATCH(C216,Ref_Frete!$A$2:$A$54,0),IF(B216="Pequenos",2,IF(B216="Medios",4,6))))</f>
        <v>120</v>
      </c>
      <c r="K216" s="13">
        <f>IF(OR(B216="",C216=""),"",INDEX(Ref_Frete!$B$2:$G$54,MATCH(C216,Ref_Frete!$A$2:$A$54,0),IF(B216="Pequenos",1,IF(B216="Medios",3,5))))</f>
        <v>120</v>
      </c>
      <c r="L216" s="13">
        <f t="shared" si="20"/>
        <v>0</v>
      </c>
      <c r="M216" s="13">
        <f t="shared" si="21"/>
        <v>267.65400000000005</v>
      </c>
      <c r="N216" s="12">
        <f t="shared" si="22"/>
        <v>0.23572296690328154</v>
      </c>
      <c r="O216" s="22" t="str">
        <f t="shared" si="23"/>
        <v>ACIMA DA META (&gt;20%)</v>
      </c>
      <c r="P216" s="23"/>
    </row>
    <row r="217" spans="1:16" ht="15" hidden="1" customHeight="1" x14ac:dyDescent="0.25">
      <c r="A217" s="19" t="s">
        <v>61</v>
      </c>
      <c r="B217" s="19" t="s">
        <v>173</v>
      </c>
      <c r="C217" s="19" t="s">
        <v>97</v>
      </c>
      <c r="D217" s="20">
        <v>1070.17</v>
      </c>
      <c r="E217" s="21">
        <v>0</v>
      </c>
      <c r="F217" s="20">
        <v>553.79</v>
      </c>
      <c r="G217" s="13">
        <v>141.13999999999999</v>
      </c>
      <c r="H217" s="13">
        <f t="shared" si="18"/>
        <v>1070.17</v>
      </c>
      <c r="I217" s="12">
        <f t="shared" si="19"/>
        <v>0.13188558827102234</v>
      </c>
      <c r="J217" s="13">
        <f>IF(OR(B217="",C217=""),"",INDEX(Ref_Frete!$B$2:$G$54,MATCH(C217,Ref_Frete!$A$2:$A$54,0),IF(B217="Pequenos",2,IF(B217="Medios",4,6))))</f>
        <v>233</v>
      </c>
      <c r="K217" s="13">
        <f>IF(OR(B217="",C217=""),"",INDEX(Ref_Frete!$B$2:$G$54,MATCH(C217,Ref_Frete!$A$2:$A$54,0),IF(B217="Pequenos",1,IF(B217="Medios",3,5))))</f>
        <v>233</v>
      </c>
      <c r="L217" s="13">
        <f t="shared" si="20"/>
        <v>0</v>
      </c>
      <c r="M217" s="13">
        <f t="shared" si="21"/>
        <v>268.22300000000013</v>
      </c>
      <c r="N217" s="12">
        <f t="shared" si="22"/>
        <v>0.25063588028070316</v>
      </c>
      <c r="O217" s="22" t="str">
        <f t="shared" si="23"/>
        <v>ACIMA DA META (&gt;20%)</v>
      </c>
      <c r="P217" s="23"/>
    </row>
    <row r="218" spans="1:16" ht="15" hidden="1" customHeight="1" x14ac:dyDescent="0.25">
      <c r="A218" s="19" t="s">
        <v>61</v>
      </c>
      <c r="B218" s="19" t="s">
        <v>173</v>
      </c>
      <c r="C218" s="19" t="s">
        <v>98</v>
      </c>
      <c r="D218" s="20">
        <v>1070.17</v>
      </c>
      <c r="E218" s="21">
        <v>0</v>
      </c>
      <c r="F218" s="20">
        <v>553.79</v>
      </c>
      <c r="G218" s="13">
        <v>141.13999999999999</v>
      </c>
      <c r="H218" s="13">
        <f t="shared" si="18"/>
        <v>1070.17</v>
      </c>
      <c r="I218" s="12">
        <f t="shared" si="19"/>
        <v>0.13188558827102234</v>
      </c>
      <c r="J218" s="13">
        <f>IF(OR(B218="",C218=""),"",INDEX(Ref_Frete!$B$2:$G$54,MATCH(C218,Ref_Frete!$A$2:$A$54,0),IF(B218="Pequenos",2,IF(B218="Medios",4,6))))</f>
        <v>120</v>
      </c>
      <c r="K218" s="13">
        <f>IF(OR(B218="",C218=""),"",INDEX(Ref_Frete!$B$2:$G$54,MATCH(C218,Ref_Frete!$A$2:$A$54,0),IF(B218="Pequenos",1,IF(B218="Medios",3,5))))</f>
        <v>120</v>
      </c>
      <c r="L218" s="13">
        <f t="shared" si="20"/>
        <v>0</v>
      </c>
      <c r="M218" s="13">
        <f t="shared" si="21"/>
        <v>268.22300000000013</v>
      </c>
      <c r="N218" s="12">
        <f t="shared" si="22"/>
        <v>0.25063588028070316</v>
      </c>
      <c r="O218" s="22" t="str">
        <f t="shared" si="23"/>
        <v>ACIMA DA META (&gt;20%)</v>
      </c>
      <c r="P218" s="23"/>
    </row>
    <row r="219" spans="1:16" ht="15" hidden="1" customHeight="1" x14ac:dyDescent="0.25">
      <c r="A219" s="19" t="s">
        <v>180</v>
      </c>
      <c r="B219" s="19" t="s">
        <v>173</v>
      </c>
      <c r="C219" s="19" t="s">
        <v>97</v>
      </c>
      <c r="D219" s="20">
        <v>1217.17</v>
      </c>
      <c r="E219" s="21">
        <v>0</v>
      </c>
      <c r="F219" s="20">
        <v>642.03</v>
      </c>
      <c r="G219" s="13">
        <v>158.78</v>
      </c>
      <c r="H219" s="13">
        <f t="shared" si="18"/>
        <v>1217.17</v>
      </c>
      <c r="I219" s="12">
        <f t="shared" si="19"/>
        <v>0.13045014254376955</v>
      </c>
      <c r="J219" s="13">
        <f>IF(OR(B219="",C219=""),"",INDEX(Ref_Frete!$B$2:$G$54,MATCH(C219,Ref_Frete!$A$2:$A$54,0),IF(B219="Pequenos",2,IF(B219="Medios",4,6))))</f>
        <v>233</v>
      </c>
      <c r="K219" s="13">
        <f>IF(OR(B219="",C219=""),"",INDEX(Ref_Frete!$B$2:$G$54,MATCH(C219,Ref_Frete!$A$2:$A$54,0),IF(B219="Pequenos",1,IF(B219="Medios",3,5))))</f>
        <v>233</v>
      </c>
      <c r="L219" s="13">
        <f t="shared" si="20"/>
        <v>0</v>
      </c>
      <c r="M219" s="13">
        <f t="shared" si="21"/>
        <v>294.64300000000014</v>
      </c>
      <c r="N219" s="12">
        <f t="shared" si="22"/>
        <v>0.24207218383627604</v>
      </c>
      <c r="O219" s="22" t="str">
        <f t="shared" si="23"/>
        <v>ACIMA DA META (&gt;20%)</v>
      </c>
      <c r="P219" s="23"/>
    </row>
    <row r="220" spans="1:16" ht="15" hidden="1" customHeight="1" x14ac:dyDescent="0.25">
      <c r="A220" s="19" t="s">
        <v>180</v>
      </c>
      <c r="B220" s="19" t="s">
        <v>173</v>
      </c>
      <c r="C220" s="19" t="s">
        <v>98</v>
      </c>
      <c r="D220" s="20">
        <v>1217.17</v>
      </c>
      <c r="E220" s="21">
        <v>0</v>
      </c>
      <c r="F220" s="20">
        <v>642.03</v>
      </c>
      <c r="G220" s="13">
        <v>158.78</v>
      </c>
      <c r="H220" s="13">
        <f t="shared" si="18"/>
        <v>1217.17</v>
      </c>
      <c r="I220" s="12">
        <f t="shared" si="19"/>
        <v>0.13045014254376955</v>
      </c>
      <c r="J220" s="13">
        <f>IF(OR(B220="",C220=""),"",INDEX(Ref_Frete!$B$2:$G$54,MATCH(C220,Ref_Frete!$A$2:$A$54,0),IF(B220="Pequenos",2,IF(B220="Medios",4,6))))</f>
        <v>120</v>
      </c>
      <c r="K220" s="13">
        <f>IF(OR(B220="",C220=""),"",INDEX(Ref_Frete!$B$2:$G$54,MATCH(C220,Ref_Frete!$A$2:$A$54,0),IF(B220="Pequenos",1,IF(B220="Medios",3,5))))</f>
        <v>120</v>
      </c>
      <c r="L220" s="13">
        <f t="shared" si="20"/>
        <v>0</v>
      </c>
      <c r="M220" s="13">
        <f t="shared" si="21"/>
        <v>294.64300000000014</v>
      </c>
      <c r="N220" s="12">
        <f t="shared" si="22"/>
        <v>0.24207218383627604</v>
      </c>
      <c r="O220" s="22" t="str">
        <f t="shared" si="23"/>
        <v>ACIMA DA META (&gt;20%)</v>
      </c>
      <c r="P220" s="23"/>
    </row>
    <row r="221" spans="1:16" ht="15" hidden="1" customHeight="1" x14ac:dyDescent="0.25">
      <c r="A221" s="19" t="s">
        <v>181</v>
      </c>
      <c r="B221" s="19" t="s">
        <v>173</v>
      </c>
      <c r="C221" s="19" t="s">
        <v>97</v>
      </c>
      <c r="D221" s="20">
        <v>1433.32</v>
      </c>
      <c r="E221" s="21">
        <v>0</v>
      </c>
      <c r="F221" s="20">
        <v>771.68</v>
      </c>
      <c r="G221" s="13">
        <v>184.72</v>
      </c>
      <c r="H221" s="13">
        <f t="shared" si="18"/>
        <v>1433.32</v>
      </c>
      <c r="I221" s="12">
        <f t="shared" si="19"/>
        <v>0.12887561744760417</v>
      </c>
      <c r="J221" s="13">
        <f>IF(OR(B221="",C221=""),"",INDEX(Ref_Frete!$B$2:$G$54,MATCH(C221,Ref_Frete!$A$2:$A$54,0),IF(B221="Pequenos",2,IF(B221="Medios",4,6))))</f>
        <v>233</v>
      </c>
      <c r="K221" s="13">
        <f>IF(OR(B221="",C221=""),"",INDEX(Ref_Frete!$B$2:$G$54,MATCH(C221,Ref_Frete!$A$2:$A$54,0),IF(B221="Pequenos",1,IF(B221="Medios",3,5))))</f>
        <v>233</v>
      </c>
      <c r="L221" s="13">
        <f t="shared" si="20"/>
        <v>0</v>
      </c>
      <c r="M221" s="13">
        <f t="shared" si="21"/>
        <v>333.58799999999997</v>
      </c>
      <c r="N221" s="12">
        <f t="shared" si="22"/>
        <v>0.23273797895794379</v>
      </c>
      <c r="O221" s="22" t="str">
        <f t="shared" si="23"/>
        <v>ACIMA DA META (&gt;20%)</v>
      </c>
      <c r="P221" s="23"/>
    </row>
    <row r="222" spans="1:16" ht="15" hidden="1" customHeight="1" x14ac:dyDescent="0.25">
      <c r="A222" s="19" t="s">
        <v>181</v>
      </c>
      <c r="B222" s="19" t="s">
        <v>173</v>
      </c>
      <c r="C222" s="19" t="s">
        <v>98</v>
      </c>
      <c r="D222" s="20">
        <v>1433.32</v>
      </c>
      <c r="E222" s="21">
        <v>0</v>
      </c>
      <c r="F222" s="20">
        <v>771.68</v>
      </c>
      <c r="G222" s="13">
        <v>184.72</v>
      </c>
      <c r="H222" s="13">
        <f t="shared" si="18"/>
        <v>1433.32</v>
      </c>
      <c r="I222" s="12">
        <f t="shared" si="19"/>
        <v>0.12887561744760417</v>
      </c>
      <c r="J222" s="13">
        <f>IF(OR(B222="",C222=""),"",INDEX(Ref_Frete!$B$2:$G$54,MATCH(C222,Ref_Frete!$A$2:$A$54,0),IF(B222="Pequenos",2,IF(B222="Medios",4,6))))</f>
        <v>120</v>
      </c>
      <c r="K222" s="13">
        <f>IF(OR(B222="",C222=""),"",INDEX(Ref_Frete!$B$2:$G$54,MATCH(C222,Ref_Frete!$A$2:$A$54,0),IF(B222="Pequenos",1,IF(B222="Medios",3,5))))</f>
        <v>120</v>
      </c>
      <c r="L222" s="13">
        <f t="shared" si="20"/>
        <v>0</v>
      </c>
      <c r="M222" s="13">
        <f t="shared" si="21"/>
        <v>333.58799999999997</v>
      </c>
      <c r="N222" s="12">
        <f t="shared" si="22"/>
        <v>0.23273797895794379</v>
      </c>
      <c r="O222" s="22" t="str">
        <f t="shared" si="23"/>
        <v>ACIMA DA META (&gt;20%)</v>
      </c>
      <c r="P222" s="23"/>
    </row>
    <row r="223" spans="1:16" ht="15" hidden="1" customHeight="1" x14ac:dyDescent="0.25">
      <c r="A223" s="19" t="s">
        <v>182</v>
      </c>
      <c r="B223" s="19" t="s">
        <v>173</v>
      </c>
      <c r="C223" s="19" t="s">
        <v>97</v>
      </c>
      <c r="D223" s="20">
        <v>1527.88</v>
      </c>
      <c r="E223" s="21">
        <v>0</v>
      </c>
      <c r="F223" s="20">
        <v>828.46</v>
      </c>
      <c r="G223" s="13">
        <v>196.07</v>
      </c>
      <c r="H223" s="13">
        <f t="shared" si="18"/>
        <v>1527.88</v>
      </c>
      <c r="I223" s="12">
        <f t="shared" si="19"/>
        <v>0.128328140953478</v>
      </c>
      <c r="J223" s="13">
        <f>IF(OR(B223="",C223=""),"",INDEX(Ref_Frete!$B$2:$G$54,MATCH(C223,Ref_Frete!$A$2:$A$54,0),IF(B223="Pequenos",2,IF(B223="Medios",4,6))))</f>
        <v>233</v>
      </c>
      <c r="K223" s="13">
        <f>IF(OR(B223="",C223=""),"",INDEX(Ref_Frete!$B$2:$G$54,MATCH(C223,Ref_Frete!$A$2:$A$54,0),IF(B223="Pequenos",1,IF(B223="Medios",3,5))))</f>
        <v>233</v>
      </c>
      <c r="L223" s="13">
        <f t="shared" si="20"/>
        <v>0</v>
      </c>
      <c r="M223" s="13">
        <f t="shared" si="21"/>
        <v>350.56200000000013</v>
      </c>
      <c r="N223" s="12">
        <f t="shared" si="22"/>
        <v>0.22944341178626601</v>
      </c>
      <c r="O223" s="22" t="str">
        <f t="shared" si="23"/>
        <v>ACIMA DA META (&gt;20%)</v>
      </c>
      <c r="P223" s="23"/>
    </row>
    <row r="224" spans="1:16" ht="15" hidden="1" customHeight="1" x14ac:dyDescent="0.25">
      <c r="A224" s="19" t="s">
        <v>182</v>
      </c>
      <c r="B224" s="19" t="s">
        <v>173</v>
      </c>
      <c r="C224" s="19" t="s">
        <v>98</v>
      </c>
      <c r="D224" s="20">
        <v>1527.88</v>
      </c>
      <c r="E224" s="21">
        <v>0</v>
      </c>
      <c r="F224" s="20">
        <v>828.46</v>
      </c>
      <c r="G224" s="13">
        <v>196.07</v>
      </c>
      <c r="H224" s="13">
        <f t="shared" si="18"/>
        <v>1527.88</v>
      </c>
      <c r="I224" s="12">
        <f t="shared" si="19"/>
        <v>0.128328140953478</v>
      </c>
      <c r="J224" s="13">
        <f>IF(OR(B224="",C224=""),"",INDEX(Ref_Frete!$B$2:$G$54,MATCH(C224,Ref_Frete!$A$2:$A$54,0),IF(B224="Pequenos",2,IF(B224="Medios",4,6))))</f>
        <v>120</v>
      </c>
      <c r="K224" s="13">
        <f>IF(OR(B224="",C224=""),"",INDEX(Ref_Frete!$B$2:$G$54,MATCH(C224,Ref_Frete!$A$2:$A$54,0),IF(B224="Pequenos",1,IF(B224="Medios",3,5))))</f>
        <v>120</v>
      </c>
      <c r="L224" s="13">
        <f t="shared" si="20"/>
        <v>0</v>
      </c>
      <c r="M224" s="13">
        <f t="shared" si="21"/>
        <v>350.56200000000013</v>
      </c>
      <c r="N224" s="12">
        <f t="shared" si="22"/>
        <v>0.22944341178626601</v>
      </c>
      <c r="O224" s="22" t="str">
        <f t="shared" si="23"/>
        <v>ACIMA DA META (&gt;20%)</v>
      </c>
      <c r="P224" s="23"/>
    </row>
    <row r="225" spans="1:16" ht="15" hidden="1" customHeight="1" x14ac:dyDescent="0.25">
      <c r="A225" s="19" t="s">
        <v>183</v>
      </c>
      <c r="B225" s="19" t="s">
        <v>173</v>
      </c>
      <c r="C225" s="19" t="s">
        <v>97</v>
      </c>
      <c r="D225" s="20">
        <v>639.57000000000005</v>
      </c>
      <c r="E225" s="21">
        <v>0</v>
      </c>
      <c r="F225" s="20">
        <v>329.27</v>
      </c>
      <c r="G225" s="13">
        <v>89.47</v>
      </c>
      <c r="H225" s="13">
        <f t="shared" si="18"/>
        <v>639.57000000000005</v>
      </c>
      <c r="I225" s="12">
        <f t="shared" si="19"/>
        <v>0.13989086417436714</v>
      </c>
      <c r="J225" s="13">
        <f>IF(OR(B225="",C225=""),"",INDEX(Ref_Frete!$B$2:$G$54,MATCH(C225,Ref_Frete!$A$2:$A$54,0),IF(B225="Pequenos",2,IF(B225="Medios",4,6))))</f>
        <v>233</v>
      </c>
      <c r="K225" s="13">
        <f>IF(OR(B225="",C225=""),"",INDEX(Ref_Frete!$B$2:$G$54,MATCH(C225,Ref_Frete!$A$2:$A$54,0),IF(B225="Pequenos",1,IF(B225="Medios",3,5))))</f>
        <v>233</v>
      </c>
      <c r="L225" s="13">
        <f t="shared" si="20"/>
        <v>0</v>
      </c>
      <c r="M225" s="13">
        <f t="shared" si="21"/>
        <v>156.87300000000005</v>
      </c>
      <c r="N225" s="12">
        <f t="shared" si="22"/>
        <v>0.24527885923354759</v>
      </c>
      <c r="O225" s="22" t="str">
        <f t="shared" si="23"/>
        <v>ACIMA DA META (&gt;20%)</v>
      </c>
      <c r="P225" s="23"/>
    </row>
    <row r="226" spans="1:16" ht="15" hidden="1" customHeight="1" x14ac:dyDescent="0.25">
      <c r="A226" s="19" t="s">
        <v>183</v>
      </c>
      <c r="B226" s="19" t="s">
        <v>173</v>
      </c>
      <c r="C226" s="19" t="s">
        <v>98</v>
      </c>
      <c r="D226" s="20">
        <v>639.57000000000005</v>
      </c>
      <c r="E226" s="21">
        <v>0</v>
      </c>
      <c r="F226" s="20">
        <v>329.27</v>
      </c>
      <c r="G226" s="13">
        <v>89.47</v>
      </c>
      <c r="H226" s="13">
        <f t="shared" si="18"/>
        <v>639.57000000000005</v>
      </c>
      <c r="I226" s="12">
        <f t="shared" si="19"/>
        <v>0.13989086417436714</v>
      </c>
      <c r="J226" s="13">
        <f>IF(OR(B226="",C226=""),"",INDEX(Ref_Frete!$B$2:$G$54,MATCH(C226,Ref_Frete!$A$2:$A$54,0),IF(B226="Pequenos",2,IF(B226="Medios",4,6))))</f>
        <v>120</v>
      </c>
      <c r="K226" s="13">
        <f>IF(OR(B226="",C226=""),"",INDEX(Ref_Frete!$B$2:$G$54,MATCH(C226,Ref_Frete!$A$2:$A$54,0),IF(B226="Pequenos",1,IF(B226="Medios",3,5))))</f>
        <v>120</v>
      </c>
      <c r="L226" s="13">
        <f t="shared" si="20"/>
        <v>0</v>
      </c>
      <c r="M226" s="13">
        <f t="shared" si="21"/>
        <v>156.87300000000005</v>
      </c>
      <c r="N226" s="12">
        <f t="shared" si="22"/>
        <v>0.24527885923354759</v>
      </c>
      <c r="O226" s="22" t="str">
        <f t="shared" si="23"/>
        <v>ACIMA DA META (&gt;20%)</v>
      </c>
      <c r="P226" s="23"/>
    </row>
    <row r="227" spans="1:16" ht="15" hidden="1" customHeight="1" x14ac:dyDescent="0.25">
      <c r="A227" s="19" t="s">
        <v>184</v>
      </c>
      <c r="B227" s="19" t="s">
        <v>173</v>
      </c>
      <c r="C227" s="19" t="s">
        <v>97</v>
      </c>
      <c r="D227" s="20">
        <v>1053.17</v>
      </c>
      <c r="E227" s="21">
        <v>0</v>
      </c>
      <c r="F227" s="20">
        <v>580.13</v>
      </c>
      <c r="G227" s="13">
        <v>139.1</v>
      </c>
      <c r="H227" s="13">
        <f t="shared" si="18"/>
        <v>1053.17</v>
      </c>
      <c r="I227" s="12">
        <f t="shared" si="19"/>
        <v>0.13207744238821842</v>
      </c>
      <c r="J227" s="13">
        <f>IF(OR(B227="",C227=""),"",INDEX(Ref_Frete!$B$2:$G$54,MATCH(C227,Ref_Frete!$A$2:$A$54,0),IF(B227="Pequenos",2,IF(B227="Medios",4,6))))</f>
        <v>233</v>
      </c>
      <c r="K227" s="13">
        <f>IF(OR(B227="",C227=""),"",INDEX(Ref_Frete!$B$2:$G$54,MATCH(C227,Ref_Frete!$A$2:$A$54,0),IF(B227="Pequenos",1,IF(B227="Medios",3,5))))</f>
        <v>233</v>
      </c>
      <c r="L227" s="13">
        <f t="shared" si="20"/>
        <v>0</v>
      </c>
      <c r="M227" s="13">
        <f t="shared" si="21"/>
        <v>228.62300000000005</v>
      </c>
      <c r="N227" s="12">
        <f t="shared" si="22"/>
        <v>0.2170808131640666</v>
      </c>
      <c r="O227" s="22" t="str">
        <f t="shared" si="23"/>
        <v>ACIMA DA META (&gt;20%)</v>
      </c>
      <c r="P227" s="23"/>
    </row>
    <row r="228" spans="1:16" ht="15" hidden="1" customHeight="1" x14ac:dyDescent="0.25">
      <c r="A228" s="19" t="s">
        <v>184</v>
      </c>
      <c r="B228" s="19" t="s">
        <v>173</v>
      </c>
      <c r="C228" s="19" t="s">
        <v>98</v>
      </c>
      <c r="D228" s="20">
        <v>1053.17</v>
      </c>
      <c r="E228" s="21">
        <v>0</v>
      </c>
      <c r="F228" s="20">
        <v>580.13</v>
      </c>
      <c r="G228" s="13">
        <v>139.1</v>
      </c>
      <c r="H228" s="13">
        <f t="shared" si="18"/>
        <v>1053.17</v>
      </c>
      <c r="I228" s="12">
        <f t="shared" si="19"/>
        <v>0.13207744238821842</v>
      </c>
      <c r="J228" s="13">
        <f>IF(OR(B228="",C228=""),"",INDEX(Ref_Frete!$B$2:$G$54,MATCH(C228,Ref_Frete!$A$2:$A$54,0),IF(B228="Pequenos",2,IF(B228="Medios",4,6))))</f>
        <v>120</v>
      </c>
      <c r="K228" s="13">
        <f>IF(OR(B228="",C228=""),"",INDEX(Ref_Frete!$B$2:$G$54,MATCH(C228,Ref_Frete!$A$2:$A$54,0),IF(B228="Pequenos",1,IF(B228="Medios",3,5))))</f>
        <v>120</v>
      </c>
      <c r="L228" s="13">
        <f t="shared" si="20"/>
        <v>0</v>
      </c>
      <c r="M228" s="13">
        <f t="shared" si="21"/>
        <v>228.62300000000005</v>
      </c>
      <c r="N228" s="12">
        <f t="shared" si="22"/>
        <v>0.2170808131640666</v>
      </c>
      <c r="O228" s="22" t="str">
        <f t="shared" si="23"/>
        <v>ACIMA DA META (&gt;20%)</v>
      </c>
      <c r="P228" s="23"/>
    </row>
    <row r="229" spans="1:16" ht="15" hidden="1" customHeight="1" x14ac:dyDescent="0.25">
      <c r="A229" s="19" t="s">
        <v>185</v>
      </c>
      <c r="B229" s="19" t="s">
        <v>173</v>
      </c>
      <c r="C229" s="19" t="s">
        <v>97</v>
      </c>
      <c r="D229" s="20">
        <v>1116.81</v>
      </c>
      <c r="E229" s="21">
        <v>0</v>
      </c>
      <c r="F229" s="20">
        <v>619.95000000000005</v>
      </c>
      <c r="G229" s="13">
        <v>146.74</v>
      </c>
      <c r="H229" s="13">
        <f t="shared" si="18"/>
        <v>1116.81</v>
      </c>
      <c r="I229" s="12">
        <f t="shared" si="19"/>
        <v>0.13139208997054111</v>
      </c>
      <c r="J229" s="13">
        <f>IF(OR(B229="",C229=""),"",INDEX(Ref_Frete!$B$2:$G$54,MATCH(C229,Ref_Frete!$A$2:$A$54,0),IF(B229="Pequenos",2,IF(B229="Medios",4,6))))</f>
        <v>233</v>
      </c>
      <c r="K229" s="13">
        <f>IF(OR(B229="",C229=""),"",INDEX(Ref_Frete!$B$2:$G$54,MATCH(C229,Ref_Frete!$A$2:$A$54,0),IF(B229="Pequenos",1,IF(B229="Medios",3,5))))</f>
        <v>233</v>
      </c>
      <c r="L229" s="13">
        <f t="shared" si="20"/>
        <v>0</v>
      </c>
      <c r="M229" s="13">
        <f t="shared" si="21"/>
        <v>238.43899999999991</v>
      </c>
      <c r="N229" s="12">
        <f t="shared" si="22"/>
        <v>0.21350005820148452</v>
      </c>
      <c r="O229" s="22" t="str">
        <f t="shared" si="23"/>
        <v>ACIMA DA META (&gt;20%)</v>
      </c>
      <c r="P229" s="23"/>
    </row>
    <row r="230" spans="1:16" ht="15" hidden="1" customHeight="1" x14ac:dyDescent="0.25">
      <c r="A230" s="19" t="s">
        <v>185</v>
      </c>
      <c r="B230" s="19" t="s">
        <v>173</v>
      </c>
      <c r="C230" s="19" t="s">
        <v>98</v>
      </c>
      <c r="D230" s="20">
        <v>1116.81</v>
      </c>
      <c r="E230" s="21">
        <v>0</v>
      </c>
      <c r="F230" s="20">
        <v>619.95000000000005</v>
      </c>
      <c r="G230" s="13">
        <v>146.74</v>
      </c>
      <c r="H230" s="13">
        <f t="shared" si="18"/>
        <v>1116.81</v>
      </c>
      <c r="I230" s="12">
        <f t="shared" si="19"/>
        <v>0.13139208997054111</v>
      </c>
      <c r="J230" s="13">
        <f>IF(OR(B230="",C230=""),"",INDEX(Ref_Frete!$B$2:$G$54,MATCH(C230,Ref_Frete!$A$2:$A$54,0),IF(B230="Pequenos",2,IF(B230="Medios",4,6))))</f>
        <v>120</v>
      </c>
      <c r="K230" s="13">
        <f>IF(OR(B230="",C230=""),"",INDEX(Ref_Frete!$B$2:$G$54,MATCH(C230,Ref_Frete!$A$2:$A$54,0),IF(B230="Pequenos",1,IF(B230="Medios",3,5))))</f>
        <v>120</v>
      </c>
      <c r="L230" s="13">
        <f t="shared" si="20"/>
        <v>0</v>
      </c>
      <c r="M230" s="13">
        <f t="shared" si="21"/>
        <v>238.43899999999991</v>
      </c>
      <c r="N230" s="12">
        <f t="shared" si="22"/>
        <v>0.21350005820148452</v>
      </c>
      <c r="O230" s="22" t="str">
        <f t="shared" si="23"/>
        <v>ACIMA DA META (&gt;20%)</v>
      </c>
      <c r="P230" s="23"/>
    </row>
    <row r="231" spans="1:16" ht="32.25" hidden="1" customHeight="1" x14ac:dyDescent="0.25">
      <c r="A231" s="19" t="s">
        <v>186</v>
      </c>
      <c r="B231" s="19" t="s">
        <v>130</v>
      </c>
      <c r="C231" s="19" t="s">
        <v>97</v>
      </c>
      <c r="D231" s="20">
        <v>462.37</v>
      </c>
      <c r="E231" s="21">
        <v>0</v>
      </c>
      <c r="F231" s="20">
        <v>238.66</v>
      </c>
      <c r="G231" s="13">
        <v>68.2</v>
      </c>
      <c r="H231" s="13">
        <f t="shared" si="18"/>
        <v>462.37</v>
      </c>
      <c r="I231" s="12">
        <f t="shared" si="19"/>
        <v>0.14750091917728228</v>
      </c>
      <c r="J231" s="13">
        <f>IF(OR(B231="",C231=""),"",INDEX(Ref_Frete!$B$2:$G$54,MATCH(C231,Ref_Frete!$A$2:$A$54,0),IF(B231="Pequenos",2,IF(B231="Medios",4,6))))</f>
        <v>59.9</v>
      </c>
      <c r="K231" s="13">
        <f>IF(OR(B231="",C231=""),"",INDEX(Ref_Frete!$B$2:$G$54,MATCH(C231,Ref_Frete!$A$2:$A$54,0),IF(B231="Pequenos",1,IF(B231="Medios",3,5))))</f>
        <v>89</v>
      </c>
      <c r="L231" s="13">
        <f t="shared" si="20"/>
        <v>-29.1</v>
      </c>
      <c r="M231" s="13">
        <f t="shared" si="21"/>
        <v>80.17300000000003</v>
      </c>
      <c r="N231" s="12">
        <f t="shared" si="22"/>
        <v>0.17339576529619141</v>
      </c>
      <c r="O231" s="22" t="str">
        <f t="shared" si="23"/>
        <v>DENTRO DA META (15-20%)</v>
      </c>
      <c r="P231" s="23" t="s">
        <v>187</v>
      </c>
    </row>
    <row r="232" spans="1:16" ht="32.25" hidden="1" customHeight="1" x14ac:dyDescent="0.25">
      <c r="A232" s="19" t="s">
        <v>186</v>
      </c>
      <c r="B232" s="19" t="s">
        <v>130</v>
      </c>
      <c r="C232" s="19" t="s">
        <v>98</v>
      </c>
      <c r="D232" s="20">
        <v>462.37</v>
      </c>
      <c r="E232" s="21">
        <v>0</v>
      </c>
      <c r="F232" s="20">
        <v>238.66</v>
      </c>
      <c r="G232" s="13">
        <v>68.2</v>
      </c>
      <c r="H232" s="13">
        <f t="shared" si="18"/>
        <v>462.37</v>
      </c>
      <c r="I232" s="12">
        <f t="shared" si="19"/>
        <v>0.14750091917728228</v>
      </c>
      <c r="J232" s="13">
        <f>IF(OR(B232="",C232=""),"",INDEX(Ref_Frete!$B$2:$G$54,MATCH(C232,Ref_Frete!$A$2:$A$54,0),IF(B232="Pequenos",2,IF(B232="Medios",4,6))))</f>
        <v>39.9</v>
      </c>
      <c r="K232" s="13">
        <f>IF(OR(B232="",C232=""),"",INDEX(Ref_Frete!$B$2:$G$54,MATCH(C232,Ref_Frete!$A$2:$A$54,0),IF(B232="Pequenos",1,IF(B232="Medios",3,5))))</f>
        <v>49</v>
      </c>
      <c r="L232" s="13">
        <f t="shared" si="20"/>
        <v>-9.1000000000000014</v>
      </c>
      <c r="M232" s="13">
        <f t="shared" si="21"/>
        <v>100.17300000000003</v>
      </c>
      <c r="N232" s="12">
        <f t="shared" si="22"/>
        <v>0.21665116681445601</v>
      </c>
      <c r="O232" s="22" t="str">
        <f t="shared" si="23"/>
        <v>ACIMA DA META (&gt;20%)</v>
      </c>
      <c r="P232" s="23" t="s">
        <v>187</v>
      </c>
    </row>
  </sheetData>
  <autoFilter ref="A6:P232">
    <filterColumn colId="1">
      <filters>
        <filter val="Medios"/>
        <filter val="Pequenos"/>
      </filters>
    </filterColumn>
    <filterColumn colId="2">
      <filters>
        <filter val="São Paulo Interior"/>
      </filters>
    </filterColumn>
    <filterColumn colId="13">
      <customFilters and="1">
        <customFilter operator="greaterThanOrEqual" val="0.19"/>
      </customFilters>
    </filterColumn>
  </autoFilter>
  <dataValidations count="1">
    <dataValidation type="list" allowBlank="1" sqref="B7:B232">
      <formula1>"Pequenos,Medios,Grandes"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Ref_Frete!$A$2:$A$54</xm:f>
          </x14:formula1>
          <x14:formula2>
            <xm:f>0</xm:f>
          </x14:formula2>
          <xm:sqref>C7:C232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7"/>
  <sheetViews>
    <sheetView tabSelected="1" zoomScaleNormal="100" workbookViewId="0">
      <pane ySplit="5" topLeftCell="A58" activePane="bottomLeft" state="frozen"/>
      <selection pane="bottomLeft" activeCell="B75" sqref="B75"/>
    </sheetView>
  </sheetViews>
  <sheetFormatPr defaultColWidth="8.7109375" defaultRowHeight="15" x14ac:dyDescent="0.25"/>
  <cols>
    <col min="1" max="1" width="11" style="1" customWidth="1"/>
    <col min="2" max="2" width="12" style="1" customWidth="1"/>
    <col min="3" max="3" width="6" style="1" customWidth="1"/>
    <col min="4" max="4" width="22" style="1" customWidth="1"/>
    <col min="5" max="5" width="11" style="1" customWidth="1"/>
    <col min="6" max="6" width="13" style="1" customWidth="1"/>
    <col min="7" max="7" width="12" style="1" customWidth="1"/>
    <col min="8" max="8" width="10" style="1" customWidth="1"/>
    <col min="9" max="9" width="12" style="1" customWidth="1"/>
    <col min="10" max="11" width="11" style="1" customWidth="1"/>
    <col min="12" max="12" width="12" style="1" customWidth="1"/>
    <col min="13" max="13" width="10" style="1" customWidth="1"/>
    <col min="14" max="14" width="12" style="1" customWidth="1"/>
    <col min="15" max="15" width="9" style="1" customWidth="1"/>
    <col min="16" max="16" width="24" style="1" customWidth="1"/>
    <col min="17" max="17" width="26" style="1" customWidth="1"/>
    <col min="18" max="18" width="11" style="1" customWidth="1"/>
    <col min="19" max="19" width="13.140625" customWidth="1"/>
  </cols>
  <sheetData>
    <row r="1" spans="1:19" ht="16.5" customHeight="1" x14ac:dyDescent="0.25">
      <c r="A1" s="2" t="s">
        <v>188</v>
      </c>
    </row>
    <row r="2" spans="1:19" ht="15" customHeight="1" x14ac:dyDescent="0.25">
      <c r="A2" s="5" t="s">
        <v>189</v>
      </c>
    </row>
    <row r="3" spans="1:19" ht="15" customHeight="1" x14ac:dyDescent="0.25">
      <c r="A3" s="3" t="s">
        <v>190</v>
      </c>
      <c r="B3" s="17">
        <v>0.1</v>
      </c>
      <c r="C3" s="3" t="s">
        <v>191</v>
      </c>
      <c r="D3" s="17">
        <v>0.13500000000000001</v>
      </c>
    </row>
    <row r="5" spans="1:19" ht="38.25" customHeight="1" x14ac:dyDescent="0.25">
      <c r="A5" s="18" t="s">
        <v>192</v>
      </c>
      <c r="B5" s="18" t="s">
        <v>27</v>
      </c>
      <c r="C5" s="18" t="s">
        <v>193</v>
      </c>
      <c r="D5" s="18" t="s">
        <v>194</v>
      </c>
      <c r="E5" s="18" t="s">
        <v>195</v>
      </c>
      <c r="F5" s="18" t="s">
        <v>196</v>
      </c>
      <c r="G5" s="18" t="s">
        <v>197</v>
      </c>
      <c r="H5" s="18" t="s">
        <v>81</v>
      </c>
      <c r="I5" s="18" t="s">
        <v>198</v>
      </c>
      <c r="J5" s="18" t="s">
        <v>199</v>
      </c>
      <c r="K5" s="18" t="s">
        <v>86</v>
      </c>
      <c r="L5" s="18" t="s">
        <v>200</v>
      </c>
      <c r="M5" s="18" t="s">
        <v>201</v>
      </c>
      <c r="N5" s="18" t="s">
        <v>202</v>
      </c>
      <c r="O5" s="18" t="s">
        <v>203</v>
      </c>
      <c r="P5" s="18" t="s">
        <v>18</v>
      </c>
      <c r="Q5" s="18" t="s">
        <v>204</v>
      </c>
      <c r="R5" s="18" t="s">
        <v>205</v>
      </c>
      <c r="S5" s="18" t="s">
        <v>559</v>
      </c>
    </row>
    <row r="6" spans="1:19" ht="15" customHeight="1" x14ac:dyDescent="0.25">
      <c r="A6" s="32">
        <v>46228</v>
      </c>
      <c r="B6" s="33" t="s">
        <v>108</v>
      </c>
      <c r="C6" s="33">
        <v>1</v>
      </c>
      <c r="D6" s="33" t="s">
        <v>206</v>
      </c>
      <c r="E6" s="20">
        <f>IF($B6="","",INDEX(Simulador!$D$7:$D$232,MATCH($B6,Simulador!$A$7:$A$232,0)))</f>
        <v>153.72</v>
      </c>
      <c r="F6" s="34"/>
      <c r="G6" s="13">
        <f t="shared" ref="G6:G37" si="0">IF(OR($B6="",$C6=""),"",$C6*E6-IF(F6="",0,F6))</f>
        <v>153.72</v>
      </c>
      <c r="H6" s="8" t="str">
        <f>IF($B6="","",INDEX(Simulador!$B$7:$B$232,MATCH($B6,Simulador!$A$7:$A$232,0)))</f>
        <v>Pequenos</v>
      </c>
      <c r="I6" s="13">
        <f>IF(OR(H6="",$D6=""),"",INDEX(Ref_Frete!$B$2:$G$54,MATCH($D6,Ref_Frete!$A$2:$A$54,0),IF(H6="Pequenos",2,IF(H6="Medios",4,6))))</f>
        <v>52</v>
      </c>
      <c r="J6" s="34">
        <v>19.73</v>
      </c>
      <c r="K6" s="20">
        <v>27.78</v>
      </c>
      <c r="L6" s="13">
        <f>IF(OR($B6="",$C6=""),"",$C6*INDEX(Simulador!$F$7:$F$232,MATCH($B6,Simulador!$A$7:$A$232,0)))</f>
        <v>75.680000000000007</v>
      </c>
      <c r="M6" s="13">
        <f t="shared" ref="M6:M37" si="1">IF(G6="","",G6*$B$3)</f>
        <v>15.372</v>
      </c>
      <c r="N6" s="35">
        <f t="shared" ref="N6:N37" si="2">IF(OR(G6="",J6=""),"",G6+IF(I6="",0,I6)-J6-K6-L6-M6)</f>
        <v>67.158000000000001</v>
      </c>
      <c r="O6" s="12">
        <f t="shared" ref="O6:O37" si="3">IF(OR(N6="",G6=0,G6=""),"",N6/G6)</f>
        <v>0.43688524590163935</v>
      </c>
      <c r="P6" s="22" t="str">
        <f t="shared" ref="P6:P37" si="4">IF(O6="","",IF(O6&lt;0,"PREJUÍZO",IF(O6&lt;0.1,"CRÍTICO (&lt;10%)",IF(O6&lt;0.15,"ABAIXO DA META (10-15%)",IF(O6&lt;=0.2,"DENTRO DA META (15-20%)","ACIMA DA META (&gt;20%)")))))</f>
        <v>ACIMA DA META (&gt;20%)</v>
      </c>
      <c r="Q6" s="19"/>
      <c r="R6" s="19" t="s">
        <v>207</v>
      </c>
      <c r="S6" t="s">
        <v>560</v>
      </c>
    </row>
    <row r="7" spans="1:19" ht="15" customHeight="1" x14ac:dyDescent="0.25">
      <c r="A7" s="32">
        <v>46236</v>
      </c>
      <c r="B7" s="19" t="s">
        <v>148</v>
      </c>
      <c r="C7" s="19">
        <v>1</v>
      </c>
      <c r="D7" s="19" t="s">
        <v>208</v>
      </c>
      <c r="E7" s="20">
        <f>IF($B7="","",INDEX(Simulador!$D$7:$D$232,MATCH($B7,Simulador!$A$7:$A$232,0)))</f>
        <v>543.85</v>
      </c>
      <c r="F7" s="20"/>
      <c r="G7" s="13">
        <f t="shared" si="0"/>
        <v>543.85</v>
      </c>
      <c r="H7" s="8" t="str">
        <f>IF($B7="","",INDEX(Simulador!$B$7:$B$232,MATCH($B7,Simulador!$A$7:$A$232,0)))</f>
        <v>Medios</v>
      </c>
      <c r="I7" s="13">
        <f>IF(OR(H7="",$D7=""),"",INDEX(Ref_Frete!$B$2:$G$54,MATCH($D7,Ref_Frete!$A$2:$A$54,0),IF(H7="Pequenos",2,IF(H7="Medios",4,6))))</f>
        <v>69.900000000000006</v>
      </c>
      <c r="J7" s="20">
        <v>80.69</v>
      </c>
      <c r="K7" s="20">
        <f>IF(G7="","",ROUND($D$3*(G7+IF(I7="",0,I7)),2))</f>
        <v>82.86</v>
      </c>
      <c r="L7" s="13">
        <f>IF(OR($B7="",$C7=""),"",$C7*INDEX(Simulador!$F$7:$F$232,MATCH($B7,Simulador!$A$7:$A$232,0)))</f>
        <v>279.42</v>
      </c>
      <c r="M7" s="13">
        <f t="shared" si="1"/>
        <v>54.385000000000005</v>
      </c>
      <c r="N7" s="35">
        <f t="shared" si="2"/>
        <v>116.39499999999991</v>
      </c>
      <c r="O7" s="12">
        <f t="shared" si="3"/>
        <v>0.21402041003953279</v>
      </c>
      <c r="P7" s="22" t="str">
        <f t="shared" si="4"/>
        <v>ACIMA DA META (&gt;20%)</v>
      </c>
      <c r="Q7" s="19" t="s">
        <v>209</v>
      </c>
      <c r="R7" s="19" t="s">
        <v>210</v>
      </c>
      <c r="S7" t="s">
        <v>560</v>
      </c>
    </row>
    <row r="8" spans="1:19" ht="15" customHeight="1" x14ac:dyDescent="0.25">
      <c r="A8" s="32">
        <v>46234</v>
      </c>
      <c r="B8" s="19" t="s">
        <v>36</v>
      </c>
      <c r="C8" s="19">
        <v>2</v>
      </c>
      <c r="D8" s="19" t="s">
        <v>211</v>
      </c>
      <c r="E8" s="20">
        <f>IF($B8="","",INDEX(Simulador!$D$7:$D$232,MATCH($B8,Simulador!$A$7:$A$232,0)))</f>
        <v>198.03</v>
      </c>
      <c r="F8" s="20"/>
      <c r="G8" s="13">
        <f t="shared" si="0"/>
        <v>396.06</v>
      </c>
      <c r="H8" s="8" t="str">
        <f>IF($B8="","",INDEX(Simulador!$B$7:$B$232,MATCH($B8,Simulador!$A$7:$A$232,0)))</f>
        <v>Pequenos</v>
      </c>
      <c r="I8" s="13">
        <f>IF(OR(H8="",$D8=""),"",INDEX(Ref_Frete!$B$2:$G$54,MATCH($D8,Ref_Frete!$A$2:$A$54,0),IF(H8="Pequenos",2,IF(H8="Medios",4,6))))</f>
        <v>12.9</v>
      </c>
      <c r="J8" s="20">
        <v>28.29</v>
      </c>
      <c r="K8" s="20">
        <f>IF(G8="","",ROUND($D$3*(G8+IF(I8="",0,I8)),2))</f>
        <v>55.21</v>
      </c>
      <c r="L8" s="13">
        <f>IF(OR($B8="",$C8=""),"",$C8*INDEX(Simulador!$F$7:$F$232,MATCH($B8,Simulador!$A$7:$A$232,0)))</f>
        <v>206.84</v>
      </c>
      <c r="M8" s="13">
        <f t="shared" si="1"/>
        <v>39.606000000000002</v>
      </c>
      <c r="N8" s="35">
        <f t="shared" si="2"/>
        <v>79.013999999999982</v>
      </c>
      <c r="O8" s="12">
        <f t="shared" si="3"/>
        <v>0.19950007574609901</v>
      </c>
      <c r="P8" s="22" t="str">
        <f t="shared" si="4"/>
        <v>DENTRO DA META (15-20%)</v>
      </c>
      <c r="Q8" s="19" t="s">
        <v>212</v>
      </c>
      <c r="R8" s="19" t="s">
        <v>210</v>
      </c>
      <c r="S8" t="s">
        <v>560</v>
      </c>
    </row>
    <row r="9" spans="1:19" ht="15" customHeight="1" x14ac:dyDescent="0.25">
      <c r="A9" s="32">
        <v>46233</v>
      </c>
      <c r="B9" s="19" t="s">
        <v>129</v>
      </c>
      <c r="C9" s="19">
        <v>1</v>
      </c>
      <c r="D9" s="19" t="s">
        <v>97</v>
      </c>
      <c r="E9" s="20">
        <f>IF($B9="","",INDEX(Simulador!$D$7:$D$232,MATCH($B9,Simulador!$A$7:$A$232,0)))</f>
        <v>674.62</v>
      </c>
      <c r="F9" s="36"/>
      <c r="G9" s="13">
        <f t="shared" si="0"/>
        <v>674.62</v>
      </c>
      <c r="H9" s="8" t="str">
        <f>IF($B9="","",INDEX(Simulador!$B$7:$B$232,MATCH($B9,Simulador!$A$7:$A$232,0)))</f>
        <v>Medios</v>
      </c>
      <c r="I9" s="13">
        <f>IF(OR(H9="",$D9=""),"",INDEX(Ref_Frete!$B$2:$G$54,MATCH($D9,Ref_Frete!$A$2:$A$54,0),IF(H9="Pequenos",2,IF(H9="Medios",4,6))))</f>
        <v>59.9</v>
      </c>
      <c r="J9" s="20">
        <v>53.59</v>
      </c>
      <c r="K9" s="20">
        <f>IF(G9="","",ROUND($D$3*(G9+IF(I9="",0,I9)),2))</f>
        <v>99.16</v>
      </c>
      <c r="L9" s="13">
        <f>IF(OR($B9="",$C9=""),"",$C9*INDEX(Simulador!$F$7:$F$232,MATCH($B9,Simulador!$A$7:$A$232,0)))</f>
        <v>365.7</v>
      </c>
      <c r="M9" s="13">
        <f t="shared" si="1"/>
        <v>67.462000000000003</v>
      </c>
      <c r="N9" s="35">
        <f t="shared" si="2"/>
        <v>148.608</v>
      </c>
      <c r="O9" s="12">
        <f t="shared" si="3"/>
        <v>0.2202840117399425</v>
      </c>
      <c r="P9" s="22" t="str">
        <f t="shared" si="4"/>
        <v>ACIMA DA META (&gt;20%)</v>
      </c>
      <c r="Q9" s="19"/>
      <c r="R9" s="19" t="s">
        <v>207</v>
      </c>
      <c r="S9" t="s">
        <v>560</v>
      </c>
    </row>
    <row r="10" spans="1:19" ht="15" customHeight="1" x14ac:dyDescent="0.25">
      <c r="A10" s="32">
        <v>46186</v>
      </c>
      <c r="B10" s="19" t="s">
        <v>34</v>
      </c>
      <c r="C10" s="19">
        <v>1</v>
      </c>
      <c r="D10" s="19" t="s">
        <v>213</v>
      </c>
      <c r="E10" s="20">
        <v>96.63</v>
      </c>
      <c r="F10" s="20"/>
      <c r="G10" s="13">
        <f t="shared" si="0"/>
        <v>96.63</v>
      </c>
      <c r="H10" s="8" t="str">
        <f>IF($B10="","",INDEX(Simulador!$B$7:$B$232,MATCH($B10,Simulador!$A$7:$A$232,0)))</f>
        <v>Pequenos</v>
      </c>
      <c r="I10" s="13">
        <v>23.51</v>
      </c>
      <c r="J10" s="20">
        <v>15.65</v>
      </c>
      <c r="K10" s="20">
        <v>14.42</v>
      </c>
      <c r="L10" s="13">
        <f>IF(OR($B10="",$C10=""),"",$C10*INDEX(Simulador!$F$7:$F$232,MATCH($B10,Simulador!$A$7:$A$232,0)))</f>
        <v>48.18</v>
      </c>
      <c r="M10" s="13">
        <f t="shared" si="1"/>
        <v>9.6630000000000003</v>
      </c>
      <c r="N10" s="35">
        <f t="shared" si="2"/>
        <v>32.22699999999999</v>
      </c>
      <c r="O10" s="12">
        <f t="shared" si="3"/>
        <v>0.3335092621339128</v>
      </c>
      <c r="P10" s="22" t="str">
        <f t="shared" si="4"/>
        <v>ACIMA DA META (&gt;20%)</v>
      </c>
      <c r="Q10" s="19" t="s">
        <v>214</v>
      </c>
      <c r="R10" s="19" t="s">
        <v>207</v>
      </c>
      <c r="S10" t="s">
        <v>560</v>
      </c>
    </row>
    <row r="11" spans="1:19" ht="15" customHeight="1" x14ac:dyDescent="0.25">
      <c r="A11" s="32">
        <v>46192</v>
      </c>
      <c r="B11" s="19" t="s">
        <v>134</v>
      </c>
      <c r="C11" s="19">
        <v>1</v>
      </c>
      <c r="D11" s="19" t="s">
        <v>215</v>
      </c>
      <c r="E11" s="20">
        <f>IF($B11="","",INDEX(Simulador!$D$7:$D$232,MATCH($B11,Simulador!$A$7:$A$232,0)))</f>
        <v>335.68</v>
      </c>
      <c r="F11" s="20"/>
      <c r="G11" s="13">
        <f t="shared" si="0"/>
        <v>335.68</v>
      </c>
      <c r="H11" s="8" t="str">
        <f>IF($B11="","",INDEX(Simulador!$B$7:$B$232,MATCH($B11,Simulador!$A$7:$A$232,0)))</f>
        <v>Medios</v>
      </c>
      <c r="I11" s="13">
        <v>51</v>
      </c>
      <c r="J11" s="20">
        <v>35.520000000000003</v>
      </c>
      <c r="K11" s="20">
        <f t="shared" ref="K11:K40" si="5">IF(G11="","",ROUND($D$3*(G11+IF(I11="",0,I11)),2))</f>
        <v>52.2</v>
      </c>
      <c r="L11" s="13">
        <f>IF(OR($B11="",$C11=""),"",$C11*INDEX(Simulador!$F$7:$F$232,MATCH($B11,Simulador!$A$7:$A$232,0)))</f>
        <v>172.67</v>
      </c>
      <c r="M11" s="13">
        <f t="shared" si="1"/>
        <v>33.568000000000005</v>
      </c>
      <c r="N11" s="35">
        <f t="shared" si="2"/>
        <v>92.722000000000037</v>
      </c>
      <c r="O11" s="12">
        <f t="shared" si="3"/>
        <v>0.27622140133460449</v>
      </c>
      <c r="P11" s="22" t="str">
        <f t="shared" si="4"/>
        <v>ACIMA DA META (&gt;20%)</v>
      </c>
      <c r="Q11" s="19" t="s">
        <v>216</v>
      </c>
      <c r="R11" s="19" t="s">
        <v>210</v>
      </c>
      <c r="S11" t="s">
        <v>560</v>
      </c>
    </row>
    <row r="12" spans="1:19" ht="15" customHeight="1" x14ac:dyDescent="0.25">
      <c r="A12" s="32">
        <v>46195</v>
      </c>
      <c r="B12" s="19" t="s">
        <v>169</v>
      </c>
      <c r="C12" s="19">
        <v>1</v>
      </c>
      <c r="D12" s="19" t="s">
        <v>215</v>
      </c>
      <c r="E12" s="20">
        <f>IF($B12="","",INDEX(Simulador!$D$7:$D$232,MATCH($B12,Simulador!$A$7:$A$232,0)))</f>
        <v>532.92999999999995</v>
      </c>
      <c r="F12" s="20"/>
      <c r="G12" s="13">
        <f t="shared" si="0"/>
        <v>532.92999999999995</v>
      </c>
      <c r="H12" s="8" t="str">
        <f>IF($B12="","",INDEX(Simulador!$B$7:$B$232,MATCH($B12,Simulador!$A$7:$A$232,0)))</f>
        <v>Medios</v>
      </c>
      <c r="I12" s="13">
        <v>59.99</v>
      </c>
      <c r="J12" s="20">
        <v>42.41</v>
      </c>
      <c r="K12" s="20">
        <f t="shared" si="5"/>
        <v>80.040000000000006</v>
      </c>
      <c r="L12" s="13">
        <f>IF(OR($B12="",$C12=""),"",$C12*INDEX(Simulador!$F$7:$F$232,MATCH($B12,Simulador!$A$7:$A$232,0)))</f>
        <v>301.02999999999997</v>
      </c>
      <c r="M12" s="13">
        <f t="shared" si="1"/>
        <v>53.292999999999999</v>
      </c>
      <c r="N12" s="35">
        <f t="shared" si="2"/>
        <v>116.14699999999999</v>
      </c>
      <c r="O12" s="12">
        <f t="shared" si="3"/>
        <v>0.21794044245961008</v>
      </c>
      <c r="P12" s="22" t="str">
        <f t="shared" si="4"/>
        <v>ACIMA DA META (&gt;20%)</v>
      </c>
      <c r="Q12" s="19"/>
      <c r="R12" s="19" t="s">
        <v>207</v>
      </c>
      <c r="S12" t="s">
        <v>560</v>
      </c>
    </row>
    <row r="13" spans="1:19" ht="15" customHeight="1" x14ac:dyDescent="0.25">
      <c r="A13" s="32">
        <v>46195</v>
      </c>
      <c r="B13" s="19" t="s">
        <v>57</v>
      </c>
      <c r="C13" s="19">
        <v>1</v>
      </c>
      <c r="D13" s="19" t="s">
        <v>211</v>
      </c>
      <c r="E13" s="20">
        <f>IF($B13="","",INDEX(Simulador!$D$7:$D$232,MATCH($B13,Simulador!$A$7:$A$232,0)))</f>
        <v>616.17999999999995</v>
      </c>
      <c r="F13" s="20"/>
      <c r="G13" s="13">
        <f t="shared" si="0"/>
        <v>616.17999999999995</v>
      </c>
      <c r="H13" s="8" t="str">
        <f>IF($B13="","",INDEX(Simulador!$B$7:$B$232,MATCH($B13,Simulador!$A$7:$A$232,0)))</f>
        <v>Medios</v>
      </c>
      <c r="I13" s="13">
        <v>40.01</v>
      </c>
      <c r="J13" s="20">
        <v>37.22</v>
      </c>
      <c r="K13" s="20">
        <f t="shared" si="5"/>
        <v>88.59</v>
      </c>
      <c r="L13" s="13">
        <f>IF(OR($B13="",$C13=""),"",$C13*INDEX(Simulador!$F$7:$F$232,MATCH($B13,Simulador!$A$7:$A$232,0)))</f>
        <v>307.26</v>
      </c>
      <c r="M13" s="13">
        <f t="shared" si="1"/>
        <v>61.617999999999995</v>
      </c>
      <c r="N13" s="35">
        <f t="shared" si="2"/>
        <v>161.5019999999999</v>
      </c>
      <c r="O13" s="12">
        <f t="shared" si="3"/>
        <v>0.262101983186731</v>
      </c>
      <c r="P13" s="22" t="str">
        <f t="shared" si="4"/>
        <v>ACIMA DA META (&gt;20%)</v>
      </c>
      <c r="Q13" s="19" t="s">
        <v>217</v>
      </c>
      <c r="R13" s="19" t="s">
        <v>210</v>
      </c>
      <c r="S13" t="s">
        <v>560</v>
      </c>
    </row>
    <row r="14" spans="1:19" ht="15" customHeight="1" x14ac:dyDescent="0.25">
      <c r="A14" s="32">
        <v>46197</v>
      </c>
      <c r="B14" s="19" t="s">
        <v>38</v>
      </c>
      <c r="C14" s="19">
        <v>1</v>
      </c>
      <c r="D14" s="19" t="s">
        <v>98</v>
      </c>
      <c r="E14" s="20">
        <v>203.16</v>
      </c>
      <c r="F14" s="20"/>
      <c r="G14" s="13">
        <f t="shared" si="0"/>
        <v>203.16</v>
      </c>
      <c r="H14" s="8" t="str">
        <f>IF($B14="","",INDEX(Simulador!$B$7:$B$232,MATCH($B14,Simulador!$A$7:$A$232,0)))</f>
        <v>Pequenos</v>
      </c>
      <c r="I14" s="13">
        <v>16.25</v>
      </c>
      <c r="J14" s="20">
        <v>34.5</v>
      </c>
      <c r="K14" s="20">
        <f t="shared" si="5"/>
        <v>29.62</v>
      </c>
      <c r="L14" s="13">
        <f>IF(OR($B14="",$C14=""),"",$C14*INDEX(Simulador!$F$7:$F$232,MATCH($B14,Simulador!$A$7:$A$232,0)))</f>
        <v>139.49</v>
      </c>
      <c r="M14" s="13">
        <f t="shared" si="1"/>
        <v>20.316000000000003</v>
      </c>
      <c r="N14" s="35">
        <f t="shared" si="2"/>
        <v>-4.5160000000000196</v>
      </c>
      <c r="O14" s="12">
        <f t="shared" si="3"/>
        <v>-2.222878519393591E-2</v>
      </c>
      <c r="P14" s="22" t="str">
        <f t="shared" si="4"/>
        <v>PREJUÍZO</v>
      </c>
      <c r="Q14" s="19" t="s">
        <v>218</v>
      </c>
      <c r="R14" s="19" t="s">
        <v>210</v>
      </c>
      <c r="S14" t="s">
        <v>560</v>
      </c>
    </row>
    <row r="15" spans="1:19" ht="15" customHeight="1" x14ac:dyDescent="0.25">
      <c r="A15" s="32">
        <v>46198</v>
      </c>
      <c r="B15" s="19" t="s">
        <v>161</v>
      </c>
      <c r="C15" s="19">
        <v>1</v>
      </c>
      <c r="D15" s="19" t="s">
        <v>213</v>
      </c>
      <c r="E15" s="20">
        <f>IF($B15="","",INDEX(Simulador!$D$7:$D$232,MATCH($B15,Simulador!$A$7:$A$232,0)))</f>
        <v>248.75</v>
      </c>
      <c r="F15" s="20"/>
      <c r="G15" s="13">
        <f t="shared" si="0"/>
        <v>248.75</v>
      </c>
      <c r="H15" s="8" t="str">
        <f>IF($B15="","",INDEX(Simulador!$B$7:$B$232,MATCH($B15,Simulador!$A$7:$A$232,0)))</f>
        <v>Medios</v>
      </c>
      <c r="I15" s="13">
        <v>46.01</v>
      </c>
      <c r="J15" s="20">
        <v>37.97</v>
      </c>
      <c r="K15" s="20">
        <f t="shared" si="5"/>
        <v>39.79</v>
      </c>
      <c r="L15" s="13">
        <f>IF(OR($B15="",$C15=""),"",$C15*INDEX(Simulador!$F$7:$F$232,MATCH($B15,Simulador!$A$7:$A$232,0)))</f>
        <v>124.42</v>
      </c>
      <c r="M15" s="13">
        <f t="shared" si="1"/>
        <v>24.875</v>
      </c>
      <c r="N15" s="35">
        <f t="shared" si="2"/>
        <v>67.70499999999997</v>
      </c>
      <c r="O15" s="12">
        <f t="shared" si="3"/>
        <v>0.27218090452261295</v>
      </c>
      <c r="P15" s="22" t="str">
        <f t="shared" si="4"/>
        <v>ACIMA DA META (&gt;20%)</v>
      </c>
      <c r="Q15" s="19" t="s">
        <v>219</v>
      </c>
      <c r="R15" s="19" t="s">
        <v>210</v>
      </c>
      <c r="S15" t="s">
        <v>560</v>
      </c>
    </row>
    <row r="16" spans="1:19" ht="15" customHeight="1" x14ac:dyDescent="0.25">
      <c r="A16" s="32">
        <v>46199</v>
      </c>
      <c r="B16" s="19" t="s">
        <v>126</v>
      </c>
      <c r="C16" s="19">
        <v>2</v>
      </c>
      <c r="D16" s="19" t="s">
        <v>211</v>
      </c>
      <c r="E16" s="20">
        <f>IF($B16="","",INDEX(Simulador!$D$7:$D$232,MATCH($B16,Simulador!$A$7:$A$232,0)))</f>
        <v>167.89</v>
      </c>
      <c r="F16" s="20"/>
      <c r="G16" s="13">
        <f t="shared" si="0"/>
        <v>335.78</v>
      </c>
      <c r="H16" s="8" t="str">
        <f>IF($B16="","",INDEX(Simulador!$B$7:$B$232,MATCH($B16,Simulador!$A$7:$A$232,0)))</f>
        <v>Pequenos</v>
      </c>
      <c r="I16" s="13">
        <f>IF(OR(H16="",$D16=""),"",INDEX(Ref_Frete!$B$2:$G$54,MATCH($D16,Ref_Frete!$A$2:$A$54,0),IF(H16="Pequenos",2,IF(H16="Medios",4,6))))</f>
        <v>12.9</v>
      </c>
      <c r="J16" s="20">
        <v>15.49</v>
      </c>
      <c r="K16" s="20">
        <f t="shared" si="5"/>
        <v>47.07</v>
      </c>
      <c r="L16" s="13">
        <f>IF(OR($B16="",$C16=""),"",$C16*INDEX(Simulador!$F$7:$F$232,MATCH($B16,Simulador!$A$7:$A$232,0)))</f>
        <v>169.58</v>
      </c>
      <c r="M16" s="13">
        <f t="shared" si="1"/>
        <v>33.577999999999996</v>
      </c>
      <c r="N16" s="35">
        <f t="shared" si="2"/>
        <v>82.961999999999932</v>
      </c>
      <c r="O16" s="12">
        <f t="shared" si="3"/>
        <v>0.24707248793853101</v>
      </c>
      <c r="P16" s="22" t="str">
        <f t="shared" si="4"/>
        <v>ACIMA DA META (&gt;20%)</v>
      </c>
      <c r="Q16" s="19" t="s">
        <v>220</v>
      </c>
      <c r="R16" s="19" t="s">
        <v>207</v>
      </c>
      <c r="S16" t="s">
        <v>560</v>
      </c>
    </row>
    <row r="17" spans="1:19" ht="15" customHeight="1" x14ac:dyDescent="0.25">
      <c r="A17" s="32">
        <v>46202</v>
      </c>
      <c r="B17" s="19" t="s">
        <v>170</v>
      </c>
      <c r="C17" s="19">
        <v>1</v>
      </c>
      <c r="D17" s="19" t="s">
        <v>221</v>
      </c>
      <c r="E17" s="20">
        <f>IF($B17="","",INDEX(Simulador!$D$7:$D$232,MATCH($B17,Simulador!$A$7:$A$232,0)))</f>
        <v>475.31</v>
      </c>
      <c r="F17" s="20"/>
      <c r="G17" s="13">
        <f t="shared" si="0"/>
        <v>475.31</v>
      </c>
      <c r="H17" s="8" t="str">
        <f>IF($B17="","",INDEX(Simulador!$B$7:$B$232,MATCH($B17,Simulador!$A$7:$A$232,0)))</f>
        <v>Medios</v>
      </c>
      <c r="I17" s="13">
        <v>163</v>
      </c>
      <c r="J17" s="20">
        <v>81.96</v>
      </c>
      <c r="K17" s="20">
        <f t="shared" si="5"/>
        <v>86.17</v>
      </c>
      <c r="L17" s="13">
        <f>IF(OR($B17="",$C17=""),"",$C17*INDEX(Simulador!$F$7:$F$232,MATCH($B17,Simulador!$A$7:$A$232,0)))</f>
        <v>247.86</v>
      </c>
      <c r="M17" s="13">
        <f t="shared" si="1"/>
        <v>47.531000000000006</v>
      </c>
      <c r="N17" s="35">
        <f t="shared" si="2"/>
        <v>174.78899999999987</v>
      </c>
      <c r="O17" s="12">
        <f t="shared" si="3"/>
        <v>0.36773684542719459</v>
      </c>
      <c r="P17" s="22" t="str">
        <f t="shared" si="4"/>
        <v>ACIMA DA META (&gt;20%)</v>
      </c>
      <c r="Q17" s="19" t="s">
        <v>222</v>
      </c>
      <c r="R17" s="19" t="s">
        <v>210</v>
      </c>
      <c r="S17" t="s">
        <v>560</v>
      </c>
    </row>
    <row r="18" spans="1:19" ht="15" customHeight="1" x14ac:dyDescent="0.25">
      <c r="A18" s="32">
        <v>46202</v>
      </c>
      <c r="B18" s="19" t="s">
        <v>155</v>
      </c>
      <c r="C18" s="19">
        <v>1</v>
      </c>
      <c r="D18" s="19" t="s">
        <v>206</v>
      </c>
      <c r="E18" s="20">
        <f>IF($B18="","",INDEX(Simulador!$D$7:$D$232,MATCH($B18,Simulador!$A$7:$A$232,0)))</f>
        <v>467.67</v>
      </c>
      <c r="F18" s="20">
        <v>37.409999999999997</v>
      </c>
      <c r="G18" s="13">
        <f t="shared" si="0"/>
        <v>430.26</v>
      </c>
      <c r="H18" s="8" t="str">
        <f>IF($B18="","",INDEX(Simulador!$B$7:$B$232,MATCH($B18,Simulador!$A$7:$A$232,0)))</f>
        <v>Medios</v>
      </c>
      <c r="I18" s="13">
        <f>IF(OR(H18="",$D18=""),"",INDEX(Ref_Frete!$B$2:$G$54,MATCH($D18,Ref_Frete!$A$2:$A$54,0),IF(H18="Pequenos",2,IF(H18="Medios",4,6))))</f>
        <v>122</v>
      </c>
      <c r="J18" s="20">
        <v>53.08</v>
      </c>
      <c r="K18" s="20">
        <f t="shared" si="5"/>
        <v>74.56</v>
      </c>
      <c r="L18" s="13">
        <f>IF(OR($B18="",$C18=""),"",$C18*INDEX(Simulador!$F$7:$F$232,MATCH($B18,Simulador!$A$7:$A$232,0)))</f>
        <v>240.55</v>
      </c>
      <c r="M18" s="13">
        <f t="shared" si="1"/>
        <v>43.026000000000003</v>
      </c>
      <c r="N18" s="35">
        <f t="shared" si="2"/>
        <v>141.04399999999998</v>
      </c>
      <c r="O18" s="12">
        <f t="shared" si="3"/>
        <v>0.32781109096825173</v>
      </c>
      <c r="P18" s="22" t="str">
        <f t="shared" si="4"/>
        <v>ACIMA DA META (&gt;20%)</v>
      </c>
      <c r="Q18" s="19" t="s">
        <v>223</v>
      </c>
      <c r="R18" s="19" t="s">
        <v>210</v>
      </c>
      <c r="S18" t="s">
        <v>560</v>
      </c>
    </row>
    <row r="19" spans="1:19" ht="15" customHeight="1" x14ac:dyDescent="0.25">
      <c r="A19" s="32">
        <v>46205</v>
      </c>
      <c r="B19" s="19" t="s">
        <v>129</v>
      </c>
      <c r="C19" s="19">
        <v>1</v>
      </c>
      <c r="D19" s="19" t="s">
        <v>211</v>
      </c>
      <c r="E19" s="20">
        <f>IF($B19="","",INDEX(Simulador!$D$7:$D$232,MATCH($B19,Simulador!$A$7:$A$232,0)))</f>
        <v>674.62</v>
      </c>
      <c r="F19" s="20"/>
      <c r="G19" s="13">
        <f t="shared" si="0"/>
        <v>674.62</v>
      </c>
      <c r="H19" s="8" t="str">
        <f>IF($B19="","",INDEX(Simulador!$B$7:$B$232,MATCH($B19,Simulador!$A$7:$A$232,0)))</f>
        <v>Medios</v>
      </c>
      <c r="I19" s="13">
        <f>IF(OR(H19="",$D19=""),"",INDEX(Ref_Frete!$B$2:$G$54,MATCH($D19,Ref_Frete!$A$2:$A$54,0),IF(H19="Pequenos",2,IF(H19="Medios",4,6))))</f>
        <v>34.9</v>
      </c>
      <c r="J19" s="20">
        <v>44.98</v>
      </c>
      <c r="K19" s="20">
        <f t="shared" si="5"/>
        <v>95.79</v>
      </c>
      <c r="L19" s="13">
        <f>IF(OR($B19="",$C19=""),"",$C19*INDEX(Simulador!$F$7:$F$232,MATCH($B19,Simulador!$A$7:$A$232,0)))</f>
        <v>365.7</v>
      </c>
      <c r="M19" s="13">
        <f t="shared" si="1"/>
        <v>67.462000000000003</v>
      </c>
      <c r="N19" s="35">
        <f t="shared" si="2"/>
        <v>135.58800000000002</v>
      </c>
      <c r="O19" s="12">
        <f t="shared" si="3"/>
        <v>0.20098425780439361</v>
      </c>
      <c r="P19" s="22" t="str">
        <f t="shared" si="4"/>
        <v>ACIMA DA META (&gt;20%)</v>
      </c>
      <c r="Q19" s="19" t="s">
        <v>224</v>
      </c>
      <c r="R19" s="19" t="s">
        <v>207</v>
      </c>
      <c r="S19" t="s">
        <v>560</v>
      </c>
    </row>
    <row r="20" spans="1:19" ht="15" customHeight="1" x14ac:dyDescent="0.25">
      <c r="A20" s="32">
        <v>46205</v>
      </c>
      <c r="B20" s="19" t="s">
        <v>126</v>
      </c>
      <c r="C20" s="19">
        <v>1</v>
      </c>
      <c r="D20" s="19" t="s">
        <v>225</v>
      </c>
      <c r="E20" s="20">
        <v>167.89</v>
      </c>
      <c r="F20" s="20"/>
      <c r="G20" s="13">
        <f t="shared" si="0"/>
        <v>167.89</v>
      </c>
      <c r="H20" s="8" t="str">
        <f>IF($B20="","",INDEX(Simulador!$B$7:$B$232,MATCH($B20,Simulador!$A$7:$A$232,0)))</f>
        <v>Pequenos</v>
      </c>
      <c r="I20" s="13">
        <v>59.49</v>
      </c>
      <c r="J20" s="20">
        <v>27.29</v>
      </c>
      <c r="K20" s="20">
        <f t="shared" si="5"/>
        <v>30.7</v>
      </c>
      <c r="L20" s="13">
        <f>IF(OR($B20="",$C20=""),"",$C20*INDEX(Simulador!$F$7:$F$232,MATCH($B20,Simulador!$A$7:$A$232,0)))</f>
        <v>84.79</v>
      </c>
      <c r="M20" s="13">
        <f t="shared" si="1"/>
        <v>16.788999999999998</v>
      </c>
      <c r="N20" s="35">
        <f t="shared" si="2"/>
        <v>67.811000000000007</v>
      </c>
      <c r="O20" s="12">
        <f t="shared" si="3"/>
        <v>0.40390136398832577</v>
      </c>
      <c r="P20" s="22" t="str">
        <f t="shared" si="4"/>
        <v>ACIMA DA META (&gt;20%)</v>
      </c>
      <c r="Q20" s="19" t="s">
        <v>226</v>
      </c>
      <c r="R20" s="19" t="s">
        <v>210</v>
      </c>
      <c r="S20" t="s">
        <v>560</v>
      </c>
    </row>
    <row r="21" spans="1:19" ht="15" customHeight="1" x14ac:dyDescent="0.25">
      <c r="A21" s="32">
        <v>46205</v>
      </c>
      <c r="B21" s="19" t="s">
        <v>125</v>
      </c>
      <c r="C21" s="19">
        <v>1</v>
      </c>
      <c r="D21" s="19" t="s">
        <v>225</v>
      </c>
      <c r="E21" s="20">
        <v>203.54</v>
      </c>
      <c r="F21" s="20"/>
      <c r="G21" s="13">
        <f t="shared" si="0"/>
        <v>203.54</v>
      </c>
      <c r="H21" s="8" t="str">
        <f>IF($B21="","",INDEX(Simulador!$B$7:$B$232,MATCH($B21,Simulador!$A$7:$A$232,0)))</f>
        <v>Pequenos</v>
      </c>
      <c r="I21" s="20">
        <v>0</v>
      </c>
      <c r="J21" s="20">
        <v>0</v>
      </c>
      <c r="K21" s="20">
        <f t="shared" si="5"/>
        <v>27.48</v>
      </c>
      <c r="L21" s="13">
        <f>IF(OR($B21="",$C21=""),"",$C21*INDEX(Simulador!$F$7:$F$232,MATCH($B21,Simulador!$A$7:$A$232,0)))</f>
        <v>102.8</v>
      </c>
      <c r="M21" s="13">
        <f t="shared" si="1"/>
        <v>20.353999999999999</v>
      </c>
      <c r="N21" s="35">
        <f t="shared" si="2"/>
        <v>52.906000000000006</v>
      </c>
      <c r="O21" s="12">
        <f t="shared" si="3"/>
        <v>0.25992925223543289</v>
      </c>
      <c r="P21" s="22" t="str">
        <f t="shared" si="4"/>
        <v>ACIMA DA META (&gt;20%)</v>
      </c>
      <c r="Q21" s="19" t="s">
        <v>227</v>
      </c>
      <c r="R21" s="19" t="s">
        <v>210</v>
      </c>
      <c r="S21" t="s">
        <v>560</v>
      </c>
    </row>
    <row r="22" spans="1:19" ht="15" customHeight="1" x14ac:dyDescent="0.25">
      <c r="A22" s="32">
        <v>46206</v>
      </c>
      <c r="B22" s="19" t="s">
        <v>115</v>
      </c>
      <c r="C22" s="19">
        <v>1</v>
      </c>
      <c r="D22" s="37" t="s">
        <v>228</v>
      </c>
      <c r="E22" s="20">
        <f>IF($B22="","",INDEX(Simulador!$D$7:$D$232,MATCH($B22,Simulador!$A$7:$A$232,0)))</f>
        <v>319.58</v>
      </c>
      <c r="F22" s="20"/>
      <c r="G22" s="13">
        <f t="shared" si="0"/>
        <v>319.58</v>
      </c>
      <c r="H22" s="8" t="str">
        <f>IF($B22="","",INDEX(Simulador!$B$7:$B$232,MATCH($B22,Simulador!$A$7:$A$232,0)))</f>
        <v>Pequenos</v>
      </c>
      <c r="I22" s="13">
        <v>82.01</v>
      </c>
      <c r="J22" s="20">
        <v>24.6</v>
      </c>
      <c r="K22" s="20">
        <f t="shared" si="5"/>
        <v>54.21</v>
      </c>
      <c r="L22" s="13">
        <f>IF(OR($B22="",$C22=""),"",$C22*INDEX(Simulador!$F$7:$F$232,MATCH($B22,Simulador!$A$7:$A$232,0)))</f>
        <v>156</v>
      </c>
      <c r="M22" s="13">
        <f t="shared" si="1"/>
        <v>31.957999999999998</v>
      </c>
      <c r="N22" s="35">
        <f t="shared" si="2"/>
        <v>134.82199999999997</v>
      </c>
      <c r="O22" s="12">
        <f t="shared" si="3"/>
        <v>0.42187245760060071</v>
      </c>
      <c r="P22" s="22" t="str">
        <f t="shared" si="4"/>
        <v>ACIMA DA META (&gt;20%)</v>
      </c>
      <c r="Q22" s="19" t="s">
        <v>229</v>
      </c>
      <c r="R22" s="19" t="s">
        <v>207</v>
      </c>
      <c r="S22" t="s">
        <v>560</v>
      </c>
    </row>
    <row r="23" spans="1:19" ht="15" customHeight="1" x14ac:dyDescent="0.25">
      <c r="A23" s="32">
        <v>46207</v>
      </c>
      <c r="B23" s="19" t="s">
        <v>125</v>
      </c>
      <c r="C23" s="19">
        <v>1</v>
      </c>
      <c r="D23" s="19" t="s">
        <v>211</v>
      </c>
      <c r="E23" s="20">
        <f>IF($B23="","",INDEX(Simulador!$D$7:$D$232,MATCH($B23,Simulador!$A$7:$A$232,0)))</f>
        <v>203.54</v>
      </c>
      <c r="F23" s="20"/>
      <c r="G23" s="13">
        <f t="shared" si="0"/>
        <v>203.54</v>
      </c>
      <c r="H23" s="8" t="str">
        <f>IF($B23="","",INDEX(Simulador!$B$7:$B$232,MATCH($B23,Simulador!$A$7:$A$232,0)))</f>
        <v>Pequenos</v>
      </c>
      <c r="I23" s="13">
        <f>IF(OR(H23="",$D23=""),"",INDEX(Ref_Frete!$B$2:$G$54,MATCH($D23,Ref_Frete!$A$2:$A$54,0),IF(H23="Pequenos",2,IF(H23="Medios",4,6))))</f>
        <v>12.9</v>
      </c>
      <c r="J23" s="20">
        <v>15.49</v>
      </c>
      <c r="K23" s="20">
        <f t="shared" si="5"/>
        <v>29.22</v>
      </c>
      <c r="L23" s="13">
        <f>IF(OR($B23="",$C23=""),"",$C23*INDEX(Simulador!$F$7:$F$232,MATCH($B23,Simulador!$A$7:$A$232,0)))</f>
        <v>102.8</v>
      </c>
      <c r="M23" s="13">
        <f t="shared" si="1"/>
        <v>20.353999999999999</v>
      </c>
      <c r="N23" s="35">
        <f t="shared" si="2"/>
        <v>48.575999999999993</v>
      </c>
      <c r="O23" s="12">
        <f t="shared" si="3"/>
        <v>0.23865579247322391</v>
      </c>
      <c r="P23" s="22" t="str">
        <f t="shared" si="4"/>
        <v>ACIMA DA META (&gt;20%)</v>
      </c>
      <c r="Q23" s="19" t="s">
        <v>230</v>
      </c>
      <c r="R23" s="19" t="s">
        <v>207</v>
      </c>
      <c r="S23" t="s">
        <v>560</v>
      </c>
    </row>
    <row r="24" spans="1:19" ht="15" customHeight="1" x14ac:dyDescent="0.25">
      <c r="A24" s="32">
        <v>46211</v>
      </c>
      <c r="B24" s="19" t="s">
        <v>125</v>
      </c>
      <c r="C24" s="19">
        <v>3</v>
      </c>
      <c r="D24" s="19" t="s">
        <v>231</v>
      </c>
      <c r="E24" s="20">
        <f>IF($B24="","",INDEX(Simulador!$D$7:$D$232,MATCH($B24,Simulador!$A$7:$A$232,0)))</f>
        <v>203.54</v>
      </c>
      <c r="F24" s="20"/>
      <c r="G24" s="13">
        <f t="shared" si="0"/>
        <v>610.62</v>
      </c>
      <c r="H24" s="8" t="str">
        <f>IF($B24="","",INDEX(Simulador!$B$7:$B$232,MATCH($B24,Simulador!$A$7:$A$232,0)))</f>
        <v>Pequenos</v>
      </c>
      <c r="I24" s="13">
        <v>159.96</v>
      </c>
      <c r="J24" s="20">
        <v>80.55</v>
      </c>
      <c r="K24" s="20">
        <f t="shared" si="5"/>
        <v>104.03</v>
      </c>
      <c r="L24" s="13">
        <f>IF(OR($B24="",$C24=""),"",$C24*INDEX(Simulador!$F$7:$F$232,MATCH($B24,Simulador!$A$7:$A$232,0)))</f>
        <v>308.39999999999998</v>
      </c>
      <c r="M24" s="13">
        <f t="shared" si="1"/>
        <v>61.062000000000005</v>
      </c>
      <c r="N24" s="35">
        <f t="shared" si="2"/>
        <v>216.53800000000012</v>
      </c>
      <c r="O24" s="12">
        <f t="shared" si="3"/>
        <v>0.35461989453342524</v>
      </c>
      <c r="P24" s="22" t="str">
        <f t="shared" si="4"/>
        <v>ACIMA DA META (&gt;20%)</v>
      </c>
      <c r="Q24" s="19" t="s">
        <v>232</v>
      </c>
      <c r="R24" s="19" t="s">
        <v>210</v>
      </c>
      <c r="S24" t="s">
        <v>560</v>
      </c>
    </row>
    <row r="25" spans="1:19" ht="15" customHeight="1" x14ac:dyDescent="0.25">
      <c r="A25" s="32">
        <v>46212</v>
      </c>
      <c r="B25" s="19" t="s">
        <v>37</v>
      </c>
      <c r="C25" s="19">
        <v>1</v>
      </c>
      <c r="D25" s="19" t="s">
        <v>98</v>
      </c>
      <c r="E25" s="20">
        <f>IF($B25="","",INDEX(Simulador!$D$7:$D$232,MATCH($B25,Simulador!$A$7:$A$232,0)))</f>
        <v>116</v>
      </c>
      <c r="F25" s="13"/>
      <c r="G25" s="13">
        <f t="shared" si="0"/>
        <v>116</v>
      </c>
      <c r="H25" s="8" t="str">
        <f>IF($B25="","",INDEX(Simulador!$B$7:$B$232,MATCH($B25,Simulador!$A$7:$A$232,0)))</f>
        <v>Pequenos</v>
      </c>
      <c r="I25" s="13">
        <f>IF(OR(H25="",$D25=""),"",INDEX(Ref_Frete!$B$2:$G$54,MATCH($D25,Ref_Frete!$A$2:$A$54,0),IF(H25="Pequenos",2,IF(H25="Medios",4,6))))</f>
        <v>16.899999999999999</v>
      </c>
      <c r="J25" s="13">
        <v>16.64</v>
      </c>
      <c r="K25" s="20">
        <f t="shared" si="5"/>
        <v>17.940000000000001</v>
      </c>
      <c r="L25" s="13">
        <f>IF(OR($B25="",$C25=""),"",$C25*INDEX(Simulador!$F$7:$F$232,MATCH($B25,Simulador!$A$7:$A$232,0)))</f>
        <v>54.47</v>
      </c>
      <c r="M25" s="13">
        <f t="shared" si="1"/>
        <v>11.600000000000001</v>
      </c>
      <c r="N25" s="35">
        <f t="shared" si="2"/>
        <v>32.250000000000007</v>
      </c>
      <c r="O25" s="12">
        <f t="shared" si="3"/>
        <v>0.27801724137931039</v>
      </c>
      <c r="P25" s="22" t="str">
        <f t="shared" si="4"/>
        <v>ACIMA DA META (&gt;20%)</v>
      </c>
      <c r="Q25" s="19" t="s">
        <v>233</v>
      </c>
      <c r="R25" s="19" t="s">
        <v>210</v>
      </c>
      <c r="S25" t="s">
        <v>560</v>
      </c>
    </row>
    <row r="26" spans="1:19" ht="15" customHeight="1" x14ac:dyDescent="0.25">
      <c r="A26" s="32">
        <v>46212</v>
      </c>
      <c r="B26" s="19" t="s">
        <v>155</v>
      </c>
      <c r="C26" s="19">
        <v>1</v>
      </c>
      <c r="D26" s="19" t="s">
        <v>208</v>
      </c>
      <c r="E26" s="20">
        <f>IF($B26="","",INDEX(Simulador!$D$7:$D$232,MATCH($B26,Simulador!$A$7:$A$232,0)))</f>
        <v>467.67</v>
      </c>
      <c r="F26" s="13"/>
      <c r="G26" s="13">
        <f t="shared" si="0"/>
        <v>467.67</v>
      </c>
      <c r="H26" s="8" t="str">
        <f>IF($B26="","",INDEX(Simulador!$B$7:$B$232,MATCH($B26,Simulador!$A$7:$A$232,0)))</f>
        <v>Medios</v>
      </c>
      <c r="I26" s="13">
        <f>IF(OR(H26="",$D26=""),"",INDEX(Ref_Frete!$B$2:$G$54,MATCH($D26,Ref_Frete!$A$2:$A$54,0),IF(H26="Pequenos",2,IF(H26="Medios",4,6))))</f>
        <v>69.900000000000006</v>
      </c>
      <c r="J26" s="13">
        <v>57.77</v>
      </c>
      <c r="K26" s="20">
        <f t="shared" si="5"/>
        <v>72.569999999999993</v>
      </c>
      <c r="L26" s="13">
        <f>IF(OR($B26="",$C26=""),"",$C26*INDEX(Simulador!$F$7:$F$232,MATCH($B26,Simulador!$A$7:$A$232,0)))</f>
        <v>240.55</v>
      </c>
      <c r="M26" s="13">
        <f t="shared" si="1"/>
        <v>46.767000000000003</v>
      </c>
      <c r="N26" s="35">
        <f t="shared" si="2"/>
        <v>119.91300000000007</v>
      </c>
      <c r="O26" s="12">
        <f t="shared" si="3"/>
        <v>0.2564051574828406</v>
      </c>
      <c r="P26" s="22" t="str">
        <f t="shared" si="4"/>
        <v>ACIMA DA META (&gt;20%)</v>
      </c>
      <c r="Q26" s="19" t="s">
        <v>234</v>
      </c>
      <c r="R26" s="19" t="s">
        <v>210</v>
      </c>
      <c r="S26" t="s">
        <v>560</v>
      </c>
    </row>
    <row r="27" spans="1:19" ht="15" customHeight="1" x14ac:dyDescent="0.25">
      <c r="A27" s="32">
        <v>46223</v>
      </c>
      <c r="B27" s="19" t="s">
        <v>125</v>
      </c>
      <c r="C27" s="19">
        <v>1</v>
      </c>
      <c r="D27" s="19" t="s">
        <v>225</v>
      </c>
      <c r="E27" s="20">
        <f>IF($B27="","",INDEX(Simulador!$D$7:$D$232,MATCH($B27,Simulador!$A$7:$A$232,0)))</f>
        <v>203.54</v>
      </c>
      <c r="F27" s="20">
        <v>10.18</v>
      </c>
      <c r="G27" s="13">
        <f t="shared" si="0"/>
        <v>193.35999999999999</v>
      </c>
      <c r="H27" s="8" t="str">
        <f>IF($B27="","",INDEX(Simulador!$B$7:$B$232,MATCH($B27,Simulador!$A$7:$A$232,0)))</f>
        <v>Pequenos</v>
      </c>
      <c r="I27" s="13">
        <v>37.49</v>
      </c>
      <c r="J27" s="20">
        <v>20.94</v>
      </c>
      <c r="K27" s="20">
        <f t="shared" si="5"/>
        <v>31.16</v>
      </c>
      <c r="L27" s="13">
        <f>IF(OR($B27="",$C27=""),"",$C27*INDEX(Simulador!$F$7:$F$232,MATCH($B27,Simulador!$A$7:$A$232,0)))</f>
        <v>102.8</v>
      </c>
      <c r="M27" s="13">
        <f t="shared" si="1"/>
        <v>19.335999999999999</v>
      </c>
      <c r="N27" s="35">
        <f t="shared" si="2"/>
        <v>56.614000000000004</v>
      </c>
      <c r="O27" s="12">
        <f t="shared" si="3"/>
        <v>0.29279064956557721</v>
      </c>
      <c r="P27" s="22" t="str">
        <f t="shared" si="4"/>
        <v>ACIMA DA META (&gt;20%)</v>
      </c>
      <c r="Q27" s="19" t="s">
        <v>235</v>
      </c>
      <c r="R27" s="19" t="s">
        <v>210</v>
      </c>
      <c r="S27" t="s">
        <v>560</v>
      </c>
    </row>
    <row r="28" spans="1:19" ht="15" customHeight="1" x14ac:dyDescent="0.25">
      <c r="A28" s="32">
        <v>46224</v>
      </c>
      <c r="B28" s="19" t="s">
        <v>126</v>
      </c>
      <c r="C28" s="19">
        <v>1</v>
      </c>
      <c r="D28" s="19" t="s">
        <v>97</v>
      </c>
      <c r="E28" s="20">
        <f>IF($B28="","",INDEX(Simulador!$D$7:$D$232,MATCH($B28,Simulador!$A$7:$A$232,0)))</f>
        <v>167.89</v>
      </c>
      <c r="F28" s="20">
        <v>8.39</v>
      </c>
      <c r="G28" s="13">
        <f t="shared" si="0"/>
        <v>159.5</v>
      </c>
      <c r="H28" s="8" t="str">
        <f>IF($B28="","",INDEX(Simulador!$B$7:$B$232,MATCH($B28,Simulador!$A$7:$A$232,0)))</f>
        <v>Pequenos</v>
      </c>
      <c r="I28" s="13">
        <f>IF(OR(H28="",$D28=""),"",INDEX(Ref_Frete!$B$2:$G$54,MATCH($D28,Ref_Frete!$A$2:$A$54,0),IF(H28="Pequenos",2,IF(H28="Medios",4,6))))</f>
        <v>24.9</v>
      </c>
      <c r="J28" s="20">
        <v>21.19</v>
      </c>
      <c r="K28" s="20">
        <f t="shared" si="5"/>
        <v>24.89</v>
      </c>
      <c r="L28" s="13">
        <f>IF(OR($B28="",$C28=""),"",$C28*INDEX(Simulador!$F$7:$F$232,MATCH($B28,Simulador!$A$7:$A$232,0)))</f>
        <v>84.79</v>
      </c>
      <c r="M28" s="13">
        <f t="shared" si="1"/>
        <v>15.950000000000001</v>
      </c>
      <c r="N28" s="35">
        <f t="shared" si="2"/>
        <v>37.579999999999984</v>
      </c>
      <c r="O28" s="12">
        <f t="shared" si="3"/>
        <v>0.23561128526645758</v>
      </c>
      <c r="P28" s="22" t="str">
        <f t="shared" si="4"/>
        <v>ACIMA DA META (&gt;20%)</v>
      </c>
      <c r="Q28" s="19" t="s">
        <v>236</v>
      </c>
      <c r="R28" s="19" t="s">
        <v>210</v>
      </c>
      <c r="S28" t="s">
        <v>560</v>
      </c>
    </row>
    <row r="29" spans="1:19" ht="15" customHeight="1" x14ac:dyDescent="0.25">
      <c r="A29" s="32">
        <v>46225</v>
      </c>
      <c r="B29" s="19" t="s">
        <v>31</v>
      </c>
      <c r="C29" s="19">
        <v>1</v>
      </c>
      <c r="D29" s="19" t="s">
        <v>98</v>
      </c>
      <c r="E29" s="20">
        <v>127.66</v>
      </c>
      <c r="F29" s="20">
        <v>1.53</v>
      </c>
      <c r="G29" s="13">
        <f t="shared" si="0"/>
        <v>126.13</v>
      </c>
      <c r="H29" s="8" t="str">
        <f>IF($B29="","",INDEX(Simulador!$B$7:$B$232,MATCH($B29,Simulador!$A$7:$A$232,0)))</f>
        <v>Pequenos</v>
      </c>
      <c r="I29" s="13">
        <f>IF(OR(H29="",$D29=""),"",INDEX(Ref_Frete!$B$2:$G$54,MATCH($D29,Ref_Frete!$A$2:$A$54,0),IF(H29="Pequenos",2,IF(H29="Medios",4,6))))</f>
        <v>16.899999999999999</v>
      </c>
      <c r="J29" s="20">
        <v>40.18</v>
      </c>
      <c r="K29" s="20">
        <f t="shared" si="5"/>
        <v>19.309999999999999</v>
      </c>
      <c r="L29" s="13">
        <f>IF(OR($B29="",$C29=""),"",$C29*INDEX(Simulador!$F$7:$F$232,MATCH($B29,Simulador!$A$7:$A$232,0)))</f>
        <v>69.52</v>
      </c>
      <c r="M29" s="13">
        <f t="shared" si="1"/>
        <v>12.613</v>
      </c>
      <c r="N29" s="35">
        <f t="shared" si="2"/>
        <v>1.4069999999999965</v>
      </c>
      <c r="O29" s="12">
        <f t="shared" si="3"/>
        <v>1.1155157377309098E-2</v>
      </c>
      <c r="P29" s="22" t="str">
        <f t="shared" si="4"/>
        <v>CRÍTICO (&lt;10%)</v>
      </c>
      <c r="Q29" s="19" t="s">
        <v>237</v>
      </c>
      <c r="R29" s="19" t="s">
        <v>210</v>
      </c>
      <c r="S29" t="s">
        <v>560</v>
      </c>
    </row>
    <row r="30" spans="1:19" ht="15" customHeight="1" x14ac:dyDescent="0.25">
      <c r="A30" s="32">
        <v>46225</v>
      </c>
      <c r="B30" s="19" t="s">
        <v>105</v>
      </c>
      <c r="C30" s="19">
        <v>1</v>
      </c>
      <c r="D30" s="19" t="s">
        <v>98</v>
      </c>
      <c r="E30" s="20">
        <v>131.24</v>
      </c>
      <c r="F30" s="20">
        <v>1.58</v>
      </c>
      <c r="G30" s="13">
        <f t="shared" si="0"/>
        <v>129.66</v>
      </c>
      <c r="H30" s="8" t="str">
        <f>IF($B30="","",INDEX(Simulador!$B$7:$B$232,MATCH($B30,Simulador!$A$7:$A$232,0)))</f>
        <v>Pequenos</v>
      </c>
      <c r="I30" s="20">
        <v>0</v>
      </c>
      <c r="J30" s="20">
        <v>0</v>
      </c>
      <c r="K30" s="20">
        <f t="shared" si="5"/>
        <v>17.5</v>
      </c>
      <c r="L30" s="13">
        <f>IF(OR($B30="",$C30=""),"",$C30*INDEX(Simulador!$F$7:$F$232,MATCH($B30,Simulador!$A$7:$A$232,0)))</f>
        <v>65.95</v>
      </c>
      <c r="M30" s="13">
        <f t="shared" si="1"/>
        <v>12.966000000000001</v>
      </c>
      <c r="N30" s="35">
        <f t="shared" si="2"/>
        <v>33.243999999999993</v>
      </c>
      <c r="O30" s="12">
        <f t="shared" si="3"/>
        <v>0.2563936449174764</v>
      </c>
      <c r="P30" s="22" t="str">
        <f t="shared" si="4"/>
        <v>ACIMA DA META (&gt;20%)</v>
      </c>
      <c r="Q30" s="19" t="s">
        <v>238</v>
      </c>
      <c r="R30" s="19" t="s">
        <v>210</v>
      </c>
      <c r="S30" t="s">
        <v>560</v>
      </c>
    </row>
    <row r="31" spans="1:19" ht="15" customHeight="1" x14ac:dyDescent="0.25">
      <c r="A31" s="32">
        <v>46225</v>
      </c>
      <c r="B31" s="19" t="s">
        <v>46</v>
      </c>
      <c r="C31" s="19">
        <v>2</v>
      </c>
      <c r="D31" s="19" t="s">
        <v>98</v>
      </c>
      <c r="E31" s="20">
        <v>119.22</v>
      </c>
      <c r="F31" s="20">
        <v>2.85</v>
      </c>
      <c r="G31" s="13">
        <f t="shared" si="0"/>
        <v>235.59</v>
      </c>
      <c r="H31" s="8" t="str">
        <f>IF($B31="","",INDEX(Simulador!$B$7:$B$232,MATCH($B31,Simulador!$A$7:$A$232,0)))</f>
        <v>Pequenos</v>
      </c>
      <c r="I31" s="20">
        <v>0</v>
      </c>
      <c r="J31" s="20">
        <v>0</v>
      </c>
      <c r="K31" s="20">
        <f t="shared" si="5"/>
        <v>31.8</v>
      </c>
      <c r="L31" s="13">
        <f>IF(OR($B31="",$C31=""),"",$C31*INDEX(Simulador!$F$7:$F$232,MATCH($B31,Simulador!$A$7:$A$232,0)))</f>
        <v>110.98</v>
      </c>
      <c r="M31" s="13">
        <f t="shared" si="1"/>
        <v>23.559000000000001</v>
      </c>
      <c r="N31" s="35">
        <f t="shared" si="2"/>
        <v>69.250999999999991</v>
      </c>
      <c r="O31" s="12">
        <f t="shared" si="3"/>
        <v>0.29394711150727953</v>
      </c>
      <c r="P31" s="22" t="str">
        <f t="shared" si="4"/>
        <v>ACIMA DA META (&gt;20%)</v>
      </c>
      <c r="Q31" s="19" t="s">
        <v>238</v>
      </c>
      <c r="R31" s="19" t="s">
        <v>210</v>
      </c>
      <c r="S31" t="s">
        <v>560</v>
      </c>
    </row>
    <row r="32" spans="1:19" ht="15" customHeight="1" x14ac:dyDescent="0.25">
      <c r="A32" s="32">
        <v>46238</v>
      </c>
      <c r="B32" s="19" t="s">
        <v>126</v>
      </c>
      <c r="C32" s="19">
        <v>3</v>
      </c>
      <c r="D32" s="19" t="s">
        <v>239</v>
      </c>
      <c r="E32" s="20">
        <f>IF($B32="","",INDEX(Simulador!$D$7:$D$232,MATCH($B32,Simulador!$A$7:$A$232,0)))</f>
        <v>167.89</v>
      </c>
      <c r="F32" s="20">
        <v>25.18</v>
      </c>
      <c r="G32" s="13">
        <f t="shared" si="0"/>
        <v>478.48999999999995</v>
      </c>
      <c r="H32" s="8" t="str">
        <f>IF($B32="","",INDEX(Simulador!$B$7:$B$232,MATCH($B32,Simulador!$A$7:$A$232,0)))</f>
        <v>Pequenos</v>
      </c>
      <c r="I32" s="13">
        <f>IF(OR(H32="",$D32=""),"",INDEX(Ref_Frete!$B$2:$G$54,MATCH($D32,Ref_Frete!$A$2:$A$54,0),IF(H32="Pequenos",2,IF(H32="Medios",4,6))))</f>
        <v>70</v>
      </c>
      <c r="J32" s="20">
        <v>87.96</v>
      </c>
      <c r="K32" s="20">
        <f t="shared" si="5"/>
        <v>74.05</v>
      </c>
      <c r="L32" s="13">
        <f>IF(OR($B32="",$C32=""),"",$C32*INDEX(Simulador!$F$7:$F$232,MATCH($B32,Simulador!$A$7:$A$232,0)))</f>
        <v>254.37</v>
      </c>
      <c r="M32" s="13">
        <f t="shared" si="1"/>
        <v>47.848999999999997</v>
      </c>
      <c r="N32" s="35">
        <f t="shared" si="2"/>
        <v>84.261000000000024</v>
      </c>
      <c r="O32" s="12">
        <f t="shared" si="3"/>
        <v>0.1760977240903677</v>
      </c>
      <c r="P32" s="22" t="str">
        <f t="shared" si="4"/>
        <v>DENTRO DA META (15-20%)</v>
      </c>
      <c r="Q32" s="19" t="s">
        <v>240</v>
      </c>
      <c r="R32" s="19" t="s">
        <v>210</v>
      </c>
      <c r="S32" t="s">
        <v>560</v>
      </c>
    </row>
    <row r="33" spans="1:19" ht="15" customHeight="1" x14ac:dyDescent="0.25">
      <c r="A33" s="32">
        <v>46239</v>
      </c>
      <c r="B33" s="19" t="s">
        <v>37</v>
      </c>
      <c r="C33" s="19">
        <v>1</v>
      </c>
      <c r="D33" s="19" t="s">
        <v>241</v>
      </c>
      <c r="E33" s="20">
        <f>IF($B33="","",INDEX(Simulador!$D$7:$D$232,MATCH($B33,Simulador!$A$7:$A$232,0)))</f>
        <v>116</v>
      </c>
      <c r="F33" s="20"/>
      <c r="G33" s="13">
        <f t="shared" si="0"/>
        <v>116</v>
      </c>
      <c r="H33" s="8" t="str">
        <f>IF($B33="","",INDEX(Simulador!$B$7:$B$232,MATCH($B33,Simulador!$A$7:$A$232,0)))</f>
        <v>Pequenos</v>
      </c>
      <c r="I33" s="13">
        <f>IF(OR(H33="",$D33=""),"",INDEX(Ref_Frete!$B$2:$G$54,MATCH($D33,Ref_Frete!$A$2:$A$54,0),IF(H33="Pequenos",2,IF(H33="Medios",4,6))))</f>
        <v>29.9</v>
      </c>
      <c r="J33" s="20">
        <v>19.079999999999998</v>
      </c>
      <c r="K33" s="20">
        <f t="shared" si="5"/>
        <v>19.7</v>
      </c>
      <c r="L33" s="13">
        <f>IF(OR($B33="",$C33=""),"",$C33*INDEX(Simulador!$F$7:$F$232,MATCH($B33,Simulador!$A$7:$A$232,0)))</f>
        <v>54.47</v>
      </c>
      <c r="M33" s="13">
        <f t="shared" si="1"/>
        <v>11.600000000000001</v>
      </c>
      <c r="N33" s="35">
        <f t="shared" si="2"/>
        <v>41.050000000000004</v>
      </c>
      <c r="O33" s="12">
        <f t="shared" si="3"/>
        <v>0.35387931034482761</v>
      </c>
      <c r="P33" s="22" t="str">
        <f t="shared" si="4"/>
        <v>ACIMA DA META (&gt;20%)</v>
      </c>
      <c r="Q33" s="19" t="s">
        <v>242</v>
      </c>
      <c r="R33" s="19" t="s">
        <v>207</v>
      </c>
      <c r="S33" t="s">
        <v>560</v>
      </c>
    </row>
    <row r="34" spans="1:19" ht="15" customHeight="1" x14ac:dyDescent="0.25">
      <c r="A34" s="32">
        <v>46240</v>
      </c>
      <c r="B34" s="19" t="s">
        <v>106</v>
      </c>
      <c r="C34" s="19">
        <v>1</v>
      </c>
      <c r="D34" s="19" t="s">
        <v>213</v>
      </c>
      <c r="E34" s="20">
        <f>IF($B34="","",INDEX(Simulador!$D$7:$D$232,MATCH($B34,Simulador!$A$7:$A$232,0)))</f>
        <v>132.9</v>
      </c>
      <c r="F34" s="20"/>
      <c r="G34" s="13">
        <f t="shared" si="0"/>
        <v>132.9</v>
      </c>
      <c r="H34" s="8" t="str">
        <f>IF($B34="","",INDEX(Simulador!$B$7:$B$232,MATCH($B34,Simulador!$A$7:$A$232,0)))</f>
        <v>Pequenos</v>
      </c>
      <c r="I34" s="13">
        <f>IF(OR(H34="",$D34=""),"",INDEX(Ref_Frete!$B$2:$G$54,MATCH($D34,Ref_Frete!$A$2:$A$54,0),IF(H34="Pequenos",2,IF(H34="Medios",4,6))))</f>
        <v>24.9</v>
      </c>
      <c r="J34" s="20">
        <v>18.600000000000001</v>
      </c>
      <c r="K34" s="20">
        <f t="shared" si="5"/>
        <v>21.3</v>
      </c>
      <c r="L34" s="13">
        <f>IF(OR($B34="",$C34=""),"",$C34*INDEX(Simulador!$F$7:$F$232,MATCH($B34,Simulador!$A$7:$A$232,0)))</f>
        <v>63.11</v>
      </c>
      <c r="M34" s="13">
        <f t="shared" si="1"/>
        <v>13.290000000000001</v>
      </c>
      <c r="N34" s="35">
        <f t="shared" si="2"/>
        <v>41.500000000000021</v>
      </c>
      <c r="O34" s="12">
        <f t="shared" si="3"/>
        <v>0.3122648607975923</v>
      </c>
      <c r="P34" s="22" t="str">
        <f t="shared" si="4"/>
        <v>ACIMA DA META (&gt;20%)</v>
      </c>
      <c r="Q34" s="19" t="s">
        <v>243</v>
      </c>
      <c r="R34" s="19" t="s">
        <v>210</v>
      </c>
      <c r="S34" t="s">
        <v>560</v>
      </c>
    </row>
    <row r="35" spans="1:19" ht="15" customHeight="1" x14ac:dyDescent="0.25">
      <c r="A35" s="32">
        <v>46240</v>
      </c>
      <c r="B35" s="19" t="s">
        <v>106</v>
      </c>
      <c r="C35" s="19">
        <v>2</v>
      </c>
      <c r="D35" s="19" t="s">
        <v>97</v>
      </c>
      <c r="E35" s="20">
        <f>IF($B35="","",INDEX(Simulador!$D$7:$D$232,MATCH($B35,Simulador!$A$7:$A$232,0)))</f>
        <v>132.9</v>
      </c>
      <c r="F35" s="20"/>
      <c r="G35" s="13">
        <f t="shared" si="0"/>
        <v>265.8</v>
      </c>
      <c r="H35" s="8" t="str">
        <f>IF($B35="","",INDEX(Simulador!$B$7:$B$232,MATCH($B35,Simulador!$A$7:$A$232,0)))</f>
        <v>Pequenos</v>
      </c>
      <c r="I35" s="13">
        <f>IF(OR(H35="",$D35=""),"",INDEX(Ref_Frete!$B$2:$G$54,MATCH($D35,Ref_Frete!$A$2:$A$54,0),IF(H35="Pequenos",2,IF(H35="Medios",4,6))))</f>
        <v>24.9</v>
      </c>
      <c r="J35" s="20">
        <v>25.56</v>
      </c>
      <c r="K35" s="20">
        <f t="shared" si="5"/>
        <v>39.24</v>
      </c>
      <c r="L35" s="13">
        <f>IF(OR($B35="",$C35=""),"",$C35*INDEX(Simulador!$F$7:$F$232,MATCH($B35,Simulador!$A$7:$A$232,0)))</f>
        <v>126.22</v>
      </c>
      <c r="M35" s="13">
        <f t="shared" si="1"/>
        <v>26.580000000000002</v>
      </c>
      <c r="N35" s="35">
        <f t="shared" si="2"/>
        <v>73.09999999999998</v>
      </c>
      <c r="O35" s="12">
        <f t="shared" si="3"/>
        <v>0.27501881113619253</v>
      </c>
      <c r="P35" s="22" t="str">
        <f t="shared" si="4"/>
        <v>ACIMA DA META (&gt;20%)</v>
      </c>
      <c r="Q35" s="19" t="s">
        <v>244</v>
      </c>
      <c r="R35" s="19" t="s">
        <v>210</v>
      </c>
      <c r="S35" t="s">
        <v>560</v>
      </c>
    </row>
    <row r="36" spans="1:19" ht="15" customHeight="1" x14ac:dyDescent="0.25">
      <c r="A36" s="32">
        <v>46241</v>
      </c>
      <c r="B36" s="19" t="s">
        <v>184</v>
      </c>
      <c r="C36" s="19">
        <v>4</v>
      </c>
      <c r="D36" s="19" t="s">
        <v>211</v>
      </c>
      <c r="E36" s="20">
        <f>IF($B36="","",INDEX(Simulador!$D$7:$D$232,MATCH($B36,Simulador!$A$7:$A$232,0)))</f>
        <v>1053.17</v>
      </c>
      <c r="F36" s="20">
        <v>210.63</v>
      </c>
      <c r="G36" s="13">
        <f t="shared" si="0"/>
        <v>4002.05</v>
      </c>
      <c r="H36" s="8" t="str">
        <f>IF($B36="","",INDEX(Simulador!$B$7:$B$232,MATCH($B36,Simulador!$A$7:$A$232,0)))</f>
        <v>Grandes</v>
      </c>
      <c r="I36" s="13">
        <f>IF(OR(H36="",$D36=""),"",INDEX(Ref_Frete!$B$2:$G$54,MATCH($D36,Ref_Frete!$A$2:$A$54,0),IF(H36="Pequenos",2,IF(H36="Medios",4,6))))</f>
        <v>106</v>
      </c>
      <c r="J36" s="20">
        <v>300</v>
      </c>
      <c r="K36" s="20">
        <f t="shared" si="5"/>
        <v>554.59</v>
      </c>
      <c r="L36" s="13">
        <f>IF(OR($B36="",$C36=""),"",$C36*INDEX(Simulador!$F$7:$F$232,MATCH($B36,Simulador!$A$7:$A$232,0)))</f>
        <v>2320.52</v>
      </c>
      <c r="M36" s="13">
        <f t="shared" si="1"/>
        <v>400.20500000000004</v>
      </c>
      <c r="N36" s="35">
        <f t="shared" si="2"/>
        <v>532.73500000000001</v>
      </c>
      <c r="O36" s="12">
        <f t="shared" si="3"/>
        <v>0.13311552829175047</v>
      </c>
      <c r="P36" s="22" t="str">
        <f t="shared" si="4"/>
        <v>ABAIXO DA META (10-15%)</v>
      </c>
      <c r="Q36" s="19"/>
      <c r="R36" s="19"/>
      <c r="S36" t="s">
        <v>560</v>
      </c>
    </row>
    <row r="37" spans="1:19" ht="15" customHeight="1" x14ac:dyDescent="0.25">
      <c r="A37" s="32">
        <v>46242</v>
      </c>
      <c r="B37" s="19" t="s">
        <v>52</v>
      </c>
      <c r="C37" s="19">
        <v>2</v>
      </c>
      <c r="D37" s="19" t="s">
        <v>211</v>
      </c>
      <c r="E37" s="20">
        <f>IF($B37="","",INDEX(Simulador!$D$7:$D$232,MATCH($B37,Simulador!$A$7:$A$232,0)))</f>
        <v>511.42</v>
      </c>
      <c r="F37" s="20"/>
      <c r="G37" s="13">
        <f t="shared" si="0"/>
        <v>1022.84</v>
      </c>
      <c r="H37" s="8" t="str">
        <f>IF($B37="","",INDEX(Simulador!$B$7:$B$232,MATCH($B37,Simulador!$A$7:$A$232,0)))</f>
        <v>Medios</v>
      </c>
      <c r="I37" s="13">
        <f>IF(OR(H37="",$D37=""),"",INDEX(Ref_Frete!$B$2:$G$54,MATCH($D37,Ref_Frete!$A$2:$A$54,0),IF(H37="Pequenos",2,IF(H37="Medios",4,6))))</f>
        <v>34.9</v>
      </c>
      <c r="J37" s="20">
        <v>75.23</v>
      </c>
      <c r="K37" s="20">
        <f t="shared" si="5"/>
        <v>142.79</v>
      </c>
      <c r="L37" s="13">
        <f>IF(OR($B37="",$C37=""),"",$C37*INDEX(Simulador!$F$7:$F$232,MATCH($B37,Simulador!$A$7:$A$232,0)))</f>
        <v>484.52</v>
      </c>
      <c r="M37" s="13">
        <f t="shared" si="1"/>
        <v>102.28400000000001</v>
      </c>
      <c r="N37" s="35">
        <f t="shared" si="2"/>
        <v>252.91600000000005</v>
      </c>
      <c r="O37" s="12">
        <f t="shared" si="3"/>
        <v>0.24726838997301634</v>
      </c>
      <c r="P37" s="22" t="str">
        <f t="shared" si="4"/>
        <v>ACIMA DA META (&gt;20%)</v>
      </c>
      <c r="Q37" s="19"/>
      <c r="R37" s="19"/>
      <c r="S37" t="s">
        <v>560</v>
      </c>
    </row>
    <row r="38" spans="1:19" ht="15" customHeight="1" x14ac:dyDescent="0.25">
      <c r="A38" s="32">
        <v>46242</v>
      </c>
      <c r="B38" s="19" t="s">
        <v>37</v>
      </c>
      <c r="C38" s="19">
        <v>1</v>
      </c>
      <c r="D38" s="19" t="s">
        <v>211</v>
      </c>
      <c r="E38" s="20">
        <f>IF($B38="","",INDEX(Simulador!$D$7:$D$232,MATCH($B38,Simulador!$A$7:$A$232,0)))</f>
        <v>116</v>
      </c>
      <c r="F38" s="20"/>
      <c r="G38" s="13">
        <f t="shared" ref="G38:G69" si="6">IF(OR($B38="",$C38=""),"",$C38*E38-IF(F38="",0,F38))</f>
        <v>116</v>
      </c>
      <c r="H38" s="8" t="str">
        <f>IF($B38="","",INDEX(Simulador!$B$7:$B$232,MATCH($B38,Simulador!$A$7:$A$232,0)))</f>
        <v>Pequenos</v>
      </c>
      <c r="I38" s="13">
        <f>IF(OR(H38="",$D38=""),"",INDEX(Ref_Frete!$B$2:$G$54,MATCH($D38,Ref_Frete!$A$2:$A$54,0),IF(H38="Pequenos",2,IF(H38="Medios",4,6))))</f>
        <v>12.9</v>
      </c>
      <c r="J38" s="20">
        <v>11.68</v>
      </c>
      <c r="K38" s="20">
        <f t="shared" si="5"/>
        <v>17.399999999999999</v>
      </c>
      <c r="L38" s="13">
        <f>IF(OR($B38="",$C38=""),"",$C38*INDEX(Simulador!$F$7:$F$232,MATCH($B38,Simulador!$A$7:$A$232,0)))</f>
        <v>54.47</v>
      </c>
      <c r="M38" s="13">
        <f t="shared" ref="M38:M69" si="7">IF(G38="","",G38*$B$3)</f>
        <v>11.600000000000001</v>
      </c>
      <c r="N38" s="35">
        <f t="shared" ref="N38:N69" si="8">IF(OR(G38="",J38=""),"",G38+IF(I38="",0,I38)-J38-K38-L38-M38)</f>
        <v>33.749999999999993</v>
      </c>
      <c r="O38" s="12">
        <f t="shared" ref="O38:O69" si="9">IF(OR(N38="",G38=0,G38=""),"",N38/G38)</f>
        <v>0.29094827586206889</v>
      </c>
      <c r="P38" s="22" t="str">
        <f t="shared" ref="P38:P69" si="10">IF(O38="","",IF(O38&lt;0,"PREJUÍZO",IF(O38&lt;0.1,"CRÍTICO (&lt;10%)",IF(O38&lt;0.15,"ABAIXO DA META (10-15%)",IF(O38&lt;=0.2,"DENTRO DA META (15-20%)","ACIMA DA META (&gt;20%)")))))</f>
        <v>ACIMA DA META (&gt;20%)</v>
      </c>
      <c r="Q38" s="19"/>
      <c r="R38" s="19"/>
      <c r="S38" t="s">
        <v>560</v>
      </c>
    </row>
    <row r="39" spans="1:19" ht="15" customHeight="1" x14ac:dyDescent="0.25">
      <c r="A39" s="32">
        <v>46245</v>
      </c>
      <c r="B39" s="19" t="s">
        <v>132</v>
      </c>
      <c r="C39" s="19">
        <v>3</v>
      </c>
      <c r="D39" s="19" t="s">
        <v>245</v>
      </c>
      <c r="E39" s="20">
        <f>IF($B39="","",INDEX(Simulador!$D$7:$D$232,MATCH($B39,Simulador!$A$7:$A$232,0)))</f>
        <v>290.17</v>
      </c>
      <c r="F39" s="20">
        <v>43.53</v>
      </c>
      <c r="G39" s="13">
        <f t="shared" si="6"/>
        <v>826.98</v>
      </c>
      <c r="H39" s="8" t="str">
        <f>IF($B39="","",INDEX(Simulador!$B$7:$B$232,MATCH($B39,Simulador!$A$7:$A$232,0)))</f>
        <v>Medios</v>
      </c>
      <c r="I39" s="13">
        <f>IF(OR(H39="",$D39=""),"",INDEX(Ref_Frete!$B$2:$G$54,MATCH($D39,Ref_Frete!$A$2:$A$54,0),IF(H39="Pequenos",2,IF(H39="Medios",4,6))))</f>
        <v>340</v>
      </c>
      <c r="J39" s="20">
        <v>131.91</v>
      </c>
      <c r="K39" s="20">
        <f t="shared" si="5"/>
        <v>157.54</v>
      </c>
      <c r="L39" s="13">
        <f>IF(OR($B39="",$C39=""),"",$C39*INDEX(Simulador!$F$7:$F$232,MATCH($B39,Simulador!$A$7:$A$232,0)))</f>
        <v>422.90999999999997</v>
      </c>
      <c r="M39" s="13">
        <f t="shared" si="7"/>
        <v>82.698000000000008</v>
      </c>
      <c r="N39" s="35">
        <f t="shared" si="8"/>
        <v>371.92200000000003</v>
      </c>
      <c r="O39" s="12">
        <f t="shared" si="9"/>
        <v>0.44973518102009724</v>
      </c>
      <c r="P39" s="22" t="str">
        <f t="shared" si="10"/>
        <v>ACIMA DA META (&gt;20%)</v>
      </c>
      <c r="Q39" s="19"/>
      <c r="R39" s="19"/>
      <c r="S39" t="s">
        <v>560</v>
      </c>
    </row>
    <row r="40" spans="1:19" ht="15" customHeight="1" x14ac:dyDescent="0.25">
      <c r="A40" s="32">
        <v>46245</v>
      </c>
      <c r="B40" s="19" t="s">
        <v>61</v>
      </c>
      <c r="C40" s="19">
        <v>1</v>
      </c>
      <c r="D40" s="19" t="s">
        <v>215</v>
      </c>
      <c r="E40" s="20">
        <f>IF($B40="","",INDEX(Simulador!$D$7:$D$232,MATCH($B40,Simulador!$A$7:$A$232,0)))</f>
        <v>1070.17</v>
      </c>
      <c r="F40" s="20"/>
      <c r="G40" s="13">
        <f t="shared" si="6"/>
        <v>1070.17</v>
      </c>
      <c r="H40" s="8" t="str">
        <f>IF($B40="","",INDEX(Simulador!$B$7:$B$232,MATCH($B40,Simulador!$A$7:$A$232,0)))</f>
        <v>Grandes</v>
      </c>
      <c r="I40" s="13">
        <f>IF(OR(H40="",$D40=""),"",INDEX(Ref_Frete!$B$2:$G$54,MATCH($D40,Ref_Frete!$A$2:$A$54,0),IF(H40="Pequenos",2,IF(H40="Medios",4,6))))</f>
        <v>178</v>
      </c>
      <c r="J40" s="20">
        <v>119.13</v>
      </c>
      <c r="K40" s="20">
        <f t="shared" si="5"/>
        <v>168.5</v>
      </c>
      <c r="L40" s="13">
        <f>IF(OR($B40="",$C40=""),"",$C40*INDEX(Simulador!$F$7:$F$232,MATCH($B40,Simulador!$A$7:$A$232,0)))</f>
        <v>553.79</v>
      </c>
      <c r="M40" s="13">
        <f t="shared" si="7"/>
        <v>107.01700000000001</v>
      </c>
      <c r="N40" s="35">
        <f t="shared" si="8"/>
        <v>299.733</v>
      </c>
      <c r="O40" s="12">
        <f t="shared" si="9"/>
        <v>0.28007980040554303</v>
      </c>
      <c r="P40" s="22" t="str">
        <f t="shared" si="10"/>
        <v>ACIMA DA META (&gt;20%)</v>
      </c>
      <c r="Q40" s="19"/>
      <c r="R40" s="19"/>
      <c r="S40" t="s">
        <v>560</v>
      </c>
    </row>
    <row r="41" spans="1:19" ht="15" customHeight="1" x14ac:dyDescent="0.25">
      <c r="A41" s="32">
        <v>46246</v>
      </c>
      <c r="B41" s="19" t="s">
        <v>125</v>
      </c>
      <c r="C41" s="19">
        <v>2</v>
      </c>
      <c r="D41" s="19" t="s">
        <v>246</v>
      </c>
      <c r="E41" s="20">
        <f>IF($B41="","",INDEX(Simulador!$D$7:$D$232,MATCH($B41,Simulador!$A$7:$A$232,0)))</f>
        <v>203.54</v>
      </c>
      <c r="F41" s="20"/>
      <c r="G41" s="13">
        <f t="shared" si="6"/>
        <v>407.08</v>
      </c>
      <c r="H41" s="8" t="str">
        <f>IF($B41="","",INDEX(Simulador!$B$7:$B$232,MATCH($B41,Simulador!$A$7:$A$232,0)))</f>
        <v>Pequenos</v>
      </c>
      <c r="I41" s="13">
        <f>IF(OR(H41="",$D41=""),"",INDEX(Ref_Frete!$B$2:$G$54,MATCH($D41,Ref_Frete!$A$2:$A$54,0),IF(H41="Pequenos",2,IF(H41="Medios",4,6))))</f>
        <v>70</v>
      </c>
      <c r="J41" s="20">
        <v>57.33</v>
      </c>
      <c r="K41" s="20">
        <v>59.64</v>
      </c>
      <c r="L41" s="13">
        <f>IF(OR($B41="",$C41=""),"",$C41*INDEX(Simulador!$F$7:$F$232,MATCH($B41,Simulador!$A$7:$A$232,0)))</f>
        <v>205.6</v>
      </c>
      <c r="M41" s="13">
        <f t="shared" si="7"/>
        <v>40.707999999999998</v>
      </c>
      <c r="N41" s="35">
        <f t="shared" si="8"/>
        <v>113.80200000000002</v>
      </c>
      <c r="O41" s="12">
        <f t="shared" si="9"/>
        <v>0.27955684386361407</v>
      </c>
      <c r="P41" s="22" t="str">
        <f t="shared" si="10"/>
        <v>ACIMA DA META (&gt;20%)</v>
      </c>
      <c r="Q41" s="19"/>
      <c r="R41" s="19"/>
      <c r="S41" t="s">
        <v>560</v>
      </c>
    </row>
    <row r="42" spans="1:19" ht="15" customHeight="1" x14ac:dyDescent="0.25">
      <c r="A42" s="32">
        <v>46246</v>
      </c>
      <c r="B42" s="19" t="s">
        <v>106</v>
      </c>
      <c r="C42" s="19">
        <v>1</v>
      </c>
      <c r="D42" s="19" t="s">
        <v>211</v>
      </c>
      <c r="E42" s="20">
        <f>IF($B42="","",INDEX(Simulador!$D$7:$D$232,MATCH($B42,Simulador!$A$7:$A$232,0)))</f>
        <v>132.9</v>
      </c>
      <c r="F42" s="20"/>
      <c r="G42" s="13">
        <f t="shared" si="6"/>
        <v>132.9</v>
      </c>
      <c r="H42" s="8" t="str">
        <f>IF($B42="","",INDEX(Simulador!$B$7:$B$232,MATCH($B42,Simulador!$A$7:$A$232,0)))</f>
        <v>Pequenos</v>
      </c>
      <c r="I42" s="13">
        <f>IF(OR(H42="",$D42=""),"",INDEX(Ref_Frete!$B$2:$G$54,MATCH($D42,Ref_Frete!$A$2:$A$54,0),IF(H42="Pequenos",2,IF(H42="Medios",4,6))))</f>
        <v>12.9</v>
      </c>
      <c r="J42" s="20">
        <v>14.23</v>
      </c>
      <c r="K42" s="20">
        <f t="shared" ref="K42:K73" si="11">IF(G42="","",ROUND($D$3*(G42+IF(I42="",0,I42)),2))</f>
        <v>19.68</v>
      </c>
      <c r="L42" s="13">
        <f>IF(OR($B42="",$C42=""),"",$C42*INDEX(Simulador!$F$7:$F$232,MATCH($B42,Simulador!$A$7:$A$232,0)))</f>
        <v>63.11</v>
      </c>
      <c r="M42" s="13">
        <f t="shared" si="7"/>
        <v>13.290000000000001</v>
      </c>
      <c r="N42" s="35">
        <f t="shared" si="8"/>
        <v>35.490000000000016</v>
      </c>
      <c r="O42" s="12">
        <f t="shared" si="9"/>
        <v>0.26704288939051929</v>
      </c>
      <c r="P42" s="22" t="str">
        <f t="shared" si="10"/>
        <v>ACIMA DA META (&gt;20%)</v>
      </c>
      <c r="Q42" s="19"/>
      <c r="R42" s="19"/>
      <c r="S42" t="s">
        <v>560</v>
      </c>
    </row>
    <row r="43" spans="1:19" ht="15" customHeight="1" x14ac:dyDescent="0.25">
      <c r="A43" s="32">
        <v>46248</v>
      </c>
      <c r="B43" s="19" t="s">
        <v>149</v>
      </c>
      <c r="C43" s="19">
        <v>1</v>
      </c>
      <c r="D43" s="19" t="s">
        <v>241</v>
      </c>
      <c r="E43" s="20">
        <f>IF($B43="","",INDEX(Simulador!$D$7:$D$232,MATCH($B43,Simulador!$A$7:$A$232,0)))</f>
        <v>642.24</v>
      </c>
      <c r="F43" s="20"/>
      <c r="G43" s="13">
        <f t="shared" si="6"/>
        <v>642.24</v>
      </c>
      <c r="H43" s="8" t="str">
        <f>IF($B43="","",INDEX(Simulador!$B$7:$B$232,MATCH($B43,Simulador!$A$7:$A$232,0)))</f>
        <v>Medios</v>
      </c>
      <c r="I43" s="13">
        <f>IF(OR(H43="",$D43=""),"",INDEX(Ref_Frete!$B$2:$G$54,MATCH($D43,Ref_Frete!$A$2:$A$54,0),IF(H43="Pequenos",2,IF(H43="Medios",4,6))))</f>
        <v>69.900000000000006</v>
      </c>
      <c r="J43" s="20">
        <v>84.49</v>
      </c>
      <c r="K43" s="20">
        <f t="shared" si="11"/>
        <v>96.14</v>
      </c>
      <c r="L43" s="13">
        <f>IF(OR($B43="",$C43=""),"",$C43*INDEX(Simulador!$F$7:$F$232,MATCH($B43,Simulador!$A$7:$A$232,0)))</f>
        <v>341.01</v>
      </c>
      <c r="M43" s="13">
        <f t="shared" si="7"/>
        <v>64.224000000000004</v>
      </c>
      <c r="N43" s="35">
        <f t="shared" si="8"/>
        <v>126.276</v>
      </c>
      <c r="O43" s="12">
        <f t="shared" si="9"/>
        <v>0.19661808669656203</v>
      </c>
      <c r="P43" s="22" t="str">
        <f t="shared" si="10"/>
        <v>DENTRO DA META (15-20%)</v>
      </c>
      <c r="Q43" s="19"/>
      <c r="R43" s="19"/>
      <c r="S43" t="s">
        <v>560</v>
      </c>
    </row>
    <row r="44" spans="1:19" ht="15" customHeight="1" x14ac:dyDescent="0.25">
      <c r="A44" s="32">
        <v>46250</v>
      </c>
      <c r="B44" s="19" t="s">
        <v>46</v>
      </c>
      <c r="C44" s="19">
        <v>1</v>
      </c>
      <c r="D44" s="19" t="s">
        <v>239</v>
      </c>
      <c r="E44" s="20">
        <f>IF($B44="","",INDEX(Simulador!$D$7:$D$232,MATCH($B44,Simulador!$A$7:$A$232,0)))</f>
        <v>119.22</v>
      </c>
      <c r="F44" s="20"/>
      <c r="G44" s="13">
        <f t="shared" si="6"/>
        <v>119.22</v>
      </c>
      <c r="H44" s="8" t="str">
        <f>IF($B44="","",INDEX(Simulador!$B$7:$B$232,MATCH($B44,Simulador!$A$7:$A$232,0)))</f>
        <v>Pequenos</v>
      </c>
      <c r="I44" s="13">
        <f>IF(OR(H44="",$D44=""),"",INDEX(Ref_Frete!$B$2:$G$54,MATCH($D44,Ref_Frete!$A$2:$A$54,0),IF(H44="Pequenos",2,IF(H44="Medios",4,6))))</f>
        <v>70</v>
      </c>
      <c r="J44" s="20">
        <v>19.95</v>
      </c>
      <c r="K44" s="20">
        <f t="shared" si="11"/>
        <v>25.54</v>
      </c>
      <c r="L44" s="13">
        <f>IF(OR($B44="",$C44=""),"",$C44*INDEX(Simulador!$F$7:$F$232,MATCH($B44,Simulador!$A$7:$A$232,0)))</f>
        <v>55.49</v>
      </c>
      <c r="M44" s="13">
        <f t="shared" si="7"/>
        <v>11.922000000000001</v>
      </c>
      <c r="N44" s="35">
        <f t="shared" si="8"/>
        <v>76.318000000000012</v>
      </c>
      <c r="O44" s="12">
        <f t="shared" si="9"/>
        <v>0.64014427109545391</v>
      </c>
      <c r="P44" s="22" t="str">
        <f t="shared" si="10"/>
        <v>ACIMA DA META (&gt;20%)</v>
      </c>
      <c r="Q44" s="19"/>
      <c r="R44" s="19"/>
      <c r="S44" t="s">
        <v>560</v>
      </c>
    </row>
    <row r="45" spans="1:19" ht="15" customHeight="1" x14ac:dyDescent="0.25">
      <c r="A45" s="32">
        <v>46253</v>
      </c>
      <c r="B45" s="19" t="s">
        <v>134</v>
      </c>
      <c r="C45" s="19">
        <v>1</v>
      </c>
      <c r="D45" s="19" t="s">
        <v>231</v>
      </c>
      <c r="E45" s="20">
        <f>IF($B45="","",INDEX(Simulador!$D$7:$D$232,MATCH($B45,Simulador!$A$7:$A$232,0)))</f>
        <v>335.68</v>
      </c>
      <c r="F45" s="20"/>
      <c r="G45" s="13">
        <f t="shared" si="6"/>
        <v>335.68</v>
      </c>
      <c r="H45" s="8" t="str">
        <f>IF($B45="","",INDEX(Simulador!$B$7:$B$232,MATCH($B45,Simulador!$A$7:$A$232,0)))</f>
        <v>Medios</v>
      </c>
      <c r="I45" s="13">
        <f>IF(OR(H45="",$D45=""),"",INDEX(Ref_Frete!$B$2:$G$54,MATCH($D45,Ref_Frete!$A$2:$A$54,0),IF(H45="Pequenos",2,IF(H45="Medios",4,6))))</f>
        <v>158</v>
      </c>
      <c r="J45" s="20">
        <v>61.25</v>
      </c>
      <c r="K45" s="20">
        <f t="shared" si="11"/>
        <v>66.650000000000006</v>
      </c>
      <c r="L45" s="13">
        <f>IF(OR($B45="",$C45=""),"",$C45*INDEX(Simulador!$F$7:$F$232,MATCH($B45,Simulador!$A$7:$A$232,0)))</f>
        <v>172.67</v>
      </c>
      <c r="M45" s="13">
        <f t="shared" si="7"/>
        <v>33.568000000000005</v>
      </c>
      <c r="N45" s="35">
        <f t="shared" si="8"/>
        <v>159.54199999999997</v>
      </c>
      <c r="O45" s="12">
        <f t="shared" si="9"/>
        <v>0.47528002859866531</v>
      </c>
      <c r="P45" s="22" t="str">
        <f t="shared" si="10"/>
        <v>ACIMA DA META (&gt;20%)</v>
      </c>
      <c r="Q45" s="19"/>
      <c r="R45" s="19"/>
      <c r="S45" t="s">
        <v>560</v>
      </c>
    </row>
    <row r="46" spans="1:19" ht="15" customHeight="1" x14ac:dyDescent="0.25">
      <c r="A46" s="32">
        <v>46254</v>
      </c>
      <c r="B46" s="19" t="s">
        <v>53</v>
      </c>
      <c r="C46" s="19">
        <v>3</v>
      </c>
      <c r="D46" s="19" t="s">
        <v>211</v>
      </c>
      <c r="E46" s="20">
        <f>IF($B46="","",INDEX(Simulador!$D$7:$D$232,MATCH($B46,Simulador!$A$7:$A$232,0)))</f>
        <v>580.52</v>
      </c>
      <c r="F46" s="20">
        <v>87.08</v>
      </c>
      <c r="G46" s="13">
        <f t="shared" si="6"/>
        <v>1654.48</v>
      </c>
      <c r="H46" s="8" t="str">
        <f>IF($B46="","",INDEX(Simulador!$B$7:$B$232,MATCH($B46,Simulador!$A$7:$A$232,0)))</f>
        <v>Medios</v>
      </c>
      <c r="I46" s="13">
        <f>IF(OR(H46="",$D46=""),"",INDEX(Ref_Frete!$B$2:$G$54,MATCH($D46,Ref_Frete!$A$2:$A$54,0),IF(H46="Pequenos",2,IF(H46="Medios",4,6))))</f>
        <v>34.9</v>
      </c>
      <c r="J46" s="20">
        <v>0</v>
      </c>
      <c r="K46" s="20">
        <f t="shared" si="11"/>
        <v>228.07</v>
      </c>
      <c r="L46" s="13">
        <f>IF(OR($B46="",$C46=""),"",$C46*INDEX(Simulador!$F$7:$F$232,MATCH($B46,Simulador!$A$7:$A$232,0)))</f>
        <v>833.25</v>
      </c>
      <c r="M46" s="13">
        <f t="shared" si="7"/>
        <v>165.44800000000001</v>
      </c>
      <c r="N46" s="35">
        <f t="shared" si="8"/>
        <v>462.61200000000019</v>
      </c>
      <c r="O46" s="12">
        <f t="shared" si="9"/>
        <v>0.27961172090324465</v>
      </c>
      <c r="P46" s="22" t="str">
        <f t="shared" si="10"/>
        <v>ACIMA DA META (&gt;20%)</v>
      </c>
      <c r="Q46" s="19"/>
      <c r="R46" s="19"/>
      <c r="S46" t="s">
        <v>560</v>
      </c>
    </row>
    <row r="47" spans="1:19" ht="15" customHeight="1" x14ac:dyDescent="0.25">
      <c r="A47" s="32">
        <v>46260</v>
      </c>
      <c r="B47" s="19" t="s">
        <v>125</v>
      </c>
      <c r="C47" s="19">
        <v>1</v>
      </c>
      <c r="D47" s="19" t="s">
        <v>247</v>
      </c>
      <c r="E47" s="20">
        <f>IF($B47="","",INDEX(Simulador!$D$7:$D$232,MATCH($B47,Simulador!$A$7:$A$232,0)))</f>
        <v>203.54</v>
      </c>
      <c r="F47" s="20"/>
      <c r="G47" s="13">
        <f t="shared" si="6"/>
        <v>203.54</v>
      </c>
      <c r="H47" s="8" t="str">
        <f>IF($B47="","",INDEX(Simulador!$B$7:$B$232,MATCH($B47,Simulador!$A$7:$A$232,0)))</f>
        <v>Pequenos</v>
      </c>
      <c r="I47" s="13">
        <f>IF(OR(H47="",$D47=""),"",INDEX(Ref_Frete!$B$2:$G$54,MATCH($D47,Ref_Frete!$A$2:$A$54,0),IF(H47="Pequenos",2,IF(H47="Medios",4,6))))</f>
        <v>24.9</v>
      </c>
      <c r="J47" s="20">
        <v>18.079999999999998</v>
      </c>
      <c r="K47" s="20">
        <f t="shared" si="11"/>
        <v>30.84</v>
      </c>
      <c r="L47" s="13">
        <f>IF(OR($B47="",$C47=""),"",$C47*INDEX(Simulador!$F$7:$F$232,MATCH($B47,Simulador!$A$7:$A$232,0)))</f>
        <v>102.8</v>
      </c>
      <c r="M47" s="13">
        <f t="shared" si="7"/>
        <v>20.353999999999999</v>
      </c>
      <c r="N47" s="35">
        <f t="shared" si="8"/>
        <v>56.366000000000014</v>
      </c>
      <c r="O47" s="12">
        <f t="shared" si="9"/>
        <v>0.27692836788837583</v>
      </c>
      <c r="P47" s="22" t="str">
        <f t="shared" si="10"/>
        <v>ACIMA DA META (&gt;20%)</v>
      </c>
      <c r="Q47" s="19"/>
      <c r="R47" s="19"/>
      <c r="S47" t="s">
        <v>560</v>
      </c>
    </row>
    <row r="48" spans="1:19" ht="15" customHeight="1" x14ac:dyDescent="0.25">
      <c r="A48" s="32">
        <v>46263</v>
      </c>
      <c r="B48" s="19" t="s">
        <v>126</v>
      </c>
      <c r="C48" s="19">
        <v>1</v>
      </c>
      <c r="D48" s="19" t="s">
        <v>247</v>
      </c>
      <c r="E48" s="20">
        <f>IF($B48="","",INDEX(Simulador!$D$7:$D$232,MATCH($B48,Simulador!$A$7:$A$232,0)))</f>
        <v>167.89</v>
      </c>
      <c r="F48" s="20"/>
      <c r="G48" s="13">
        <f t="shared" si="6"/>
        <v>167.89</v>
      </c>
      <c r="H48" s="8" t="str">
        <f>IF($B48="","",INDEX(Simulador!$B$7:$B$232,MATCH($B48,Simulador!$A$7:$A$232,0)))</f>
        <v>Pequenos</v>
      </c>
      <c r="I48" s="38">
        <f>IF(OR(H48="",$D48=""),"",INDEX(Ref_Frete!$B$2:$G$54,MATCH($D48,Ref_Frete!$A$2:$A$54,0),IF(H48="Pequenos",2,IF(H48="Medios",4,6))))</f>
        <v>24.9</v>
      </c>
      <c r="J48" s="20">
        <v>14.69</v>
      </c>
      <c r="K48" s="20">
        <f t="shared" si="11"/>
        <v>26.03</v>
      </c>
      <c r="L48" s="13">
        <f>IF(OR($B48="",$C48=""),"",$C48*INDEX(Simulador!$F$7:$F$232,MATCH($B48,Simulador!$A$7:$A$232,0)))</f>
        <v>84.79</v>
      </c>
      <c r="M48" s="13">
        <f t="shared" si="7"/>
        <v>16.788999999999998</v>
      </c>
      <c r="N48" s="35">
        <f t="shared" si="8"/>
        <v>50.490999999999985</v>
      </c>
      <c r="O48" s="12">
        <f t="shared" si="9"/>
        <v>0.30073857883137761</v>
      </c>
      <c r="P48" s="22" t="str">
        <f t="shared" si="10"/>
        <v>ACIMA DA META (&gt;20%)</v>
      </c>
      <c r="Q48" s="19"/>
      <c r="R48" s="19"/>
      <c r="S48" t="s">
        <v>560</v>
      </c>
    </row>
    <row r="49" spans="1:19" ht="15" customHeight="1" x14ac:dyDescent="0.25">
      <c r="A49" s="32">
        <v>46264</v>
      </c>
      <c r="B49" s="19" t="s">
        <v>106</v>
      </c>
      <c r="C49" s="19">
        <v>1</v>
      </c>
      <c r="D49" s="19" t="s">
        <v>213</v>
      </c>
      <c r="E49" s="20">
        <f>IF($B49="","",INDEX(Simulador!$D$7:$D$232,MATCH($B49,Simulador!$A$7:$A$232,0)))</f>
        <v>132.9</v>
      </c>
      <c r="F49" s="20"/>
      <c r="G49" s="13">
        <f t="shared" si="6"/>
        <v>132.9</v>
      </c>
      <c r="H49" s="8" t="str">
        <f>IF($B49="","",INDEX(Simulador!$B$7:$B$232,MATCH($B49,Simulador!$A$7:$A$232,0)))</f>
        <v>Pequenos</v>
      </c>
      <c r="I49" s="13">
        <f>IF(OR(H49="",$D49=""),"",INDEX(Ref_Frete!$B$2:$G$54,MATCH($D49,Ref_Frete!$A$2:$A$54,0),IF(H49="Pequenos",2,IF(H49="Medios",4,6))))</f>
        <v>24.9</v>
      </c>
      <c r="J49" s="20">
        <v>15.65</v>
      </c>
      <c r="K49" s="36">
        <f t="shared" si="11"/>
        <v>21.3</v>
      </c>
      <c r="L49" s="13">
        <f>IF(OR($B49="",$C49=""),"",$C49*INDEX(Simulador!$F$7:$F$232,MATCH($B49,Simulador!$A$7:$A$232,0)))</f>
        <v>63.11</v>
      </c>
      <c r="M49" s="13">
        <f t="shared" si="7"/>
        <v>13.290000000000001</v>
      </c>
      <c r="N49" s="35">
        <f t="shared" si="8"/>
        <v>44.45000000000001</v>
      </c>
      <c r="O49" s="12">
        <f t="shared" si="9"/>
        <v>0.33446200150489097</v>
      </c>
      <c r="P49" s="22" t="str">
        <f t="shared" si="10"/>
        <v>ACIMA DA META (&gt;20%)</v>
      </c>
      <c r="Q49" s="19"/>
      <c r="R49" s="19"/>
      <c r="S49" t="s">
        <v>560</v>
      </c>
    </row>
    <row r="50" spans="1:19" ht="15" customHeight="1" x14ac:dyDescent="0.25">
      <c r="A50" s="32">
        <v>46265</v>
      </c>
      <c r="B50" s="19" t="s">
        <v>106</v>
      </c>
      <c r="C50" s="19">
        <v>2</v>
      </c>
      <c r="D50" s="19" t="s">
        <v>248</v>
      </c>
      <c r="E50" s="20">
        <f>IF($B50="","",INDEX(Simulador!$D$7:$D$232,MATCH($B50,Simulador!$A$7:$A$232,0)))</f>
        <v>132.9</v>
      </c>
      <c r="F50" s="20"/>
      <c r="G50" s="38">
        <f t="shared" si="6"/>
        <v>265.8</v>
      </c>
      <c r="H50" s="8" t="str">
        <f>IF($B50="","",INDEX(Simulador!$B$7:$B$232,MATCH($B50,Simulador!$A$7:$A$232,0)))</f>
        <v>Pequenos</v>
      </c>
      <c r="I50" s="13">
        <f>IF(OR(H50="",$D50=""),"",INDEX(Ref_Frete!$B$2:$G$54,MATCH($D50,Ref_Frete!$A$2:$A$54,0),IF(H50="Pequenos",2,IF(H50="Medios",4,6))))</f>
        <v>43</v>
      </c>
      <c r="J50" s="20">
        <v>20.98</v>
      </c>
      <c r="K50" s="20">
        <f t="shared" si="11"/>
        <v>41.69</v>
      </c>
      <c r="L50" s="13">
        <f>IF(OR($B50="",$C50=""),"",$C50*INDEX(Simulador!$F$7:$F$232,MATCH($B50,Simulador!$A$7:$A$232,0)))</f>
        <v>126.22</v>
      </c>
      <c r="M50" s="13">
        <f t="shared" si="7"/>
        <v>26.580000000000002</v>
      </c>
      <c r="N50" s="35">
        <f t="shared" si="8"/>
        <v>93.33</v>
      </c>
      <c r="O50" s="12">
        <f t="shared" si="9"/>
        <v>0.35112866817155752</v>
      </c>
      <c r="P50" s="22" t="str">
        <f t="shared" si="10"/>
        <v>ACIMA DA META (&gt;20%)</v>
      </c>
      <c r="Q50" s="19"/>
      <c r="R50" s="19"/>
      <c r="S50" t="s">
        <v>560</v>
      </c>
    </row>
    <row r="51" spans="1:19" ht="15" customHeight="1" x14ac:dyDescent="0.25">
      <c r="A51" s="32">
        <v>46265</v>
      </c>
      <c r="B51" s="19" t="s">
        <v>38</v>
      </c>
      <c r="C51" s="19">
        <v>3</v>
      </c>
      <c r="D51" s="19" t="s">
        <v>239</v>
      </c>
      <c r="E51" s="20">
        <f>IF($B51="","",INDEX(Simulador!$D$7:$D$232,MATCH($B51,Simulador!$A$7:$A$232,0)))</f>
        <v>259.89999999999998</v>
      </c>
      <c r="F51" s="20"/>
      <c r="G51" s="13">
        <f t="shared" si="6"/>
        <v>779.69999999999993</v>
      </c>
      <c r="H51" s="8" t="str">
        <f>IF($B51="","",INDEX(Simulador!$B$7:$B$232,MATCH($B51,Simulador!$A$7:$A$232,0)))</f>
        <v>Pequenos</v>
      </c>
      <c r="I51" s="13">
        <f>IF(OR(H51="",$D51=""),"",INDEX(Ref_Frete!$B$2:$G$54,MATCH($D51,Ref_Frete!$A$2:$A$54,0),IF(H51="Pequenos",2,IF(H51="Medios",4,6))))</f>
        <v>70</v>
      </c>
      <c r="J51" s="20">
        <v>102.9</v>
      </c>
      <c r="K51" s="20">
        <f t="shared" si="11"/>
        <v>114.71</v>
      </c>
      <c r="L51" s="13">
        <f>IF(OR($B51="",$C51=""),"",$C51*INDEX(Simulador!$F$7:$F$232,MATCH($B51,Simulador!$A$7:$A$232,0)))</f>
        <v>418.47</v>
      </c>
      <c r="M51" s="13">
        <f t="shared" si="7"/>
        <v>77.97</v>
      </c>
      <c r="N51" s="35">
        <f t="shared" si="8"/>
        <v>135.64999999999989</v>
      </c>
      <c r="O51" s="12">
        <f t="shared" si="9"/>
        <v>0.17397717070668192</v>
      </c>
      <c r="P51" s="22" t="str">
        <f t="shared" si="10"/>
        <v>DENTRO DA META (15-20%)</v>
      </c>
      <c r="Q51" s="19"/>
      <c r="R51" s="19"/>
      <c r="S51" t="s">
        <v>560</v>
      </c>
    </row>
    <row r="52" spans="1:19" ht="15" customHeight="1" x14ac:dyDescent="0.25">
      <c r="A52" s="32">
        <v>46265</v>
      </c>
      <c r="B52" s="19" t="s">
        <v>106</v>
      </c>
      <c r="C52" s="19">
        <v>1</v>
      </c>
      <c r="D52" s="19" t="s">
        <v>247</v>
      </c>
      <c r="E52" s="20">
        <f>IF($B52="","",INDEX(Simulador!$D$7:$D$232,MATCH($B52,Simulador!$A$7:$A$232,0)))</f>
        <v>132.9</v>
      </c>
      <c r="F52" s="20"/>
      <c r="G52" s="13">
        <f t="shared" si="6"/>
        <v>132.9</v>
      </c>
      <c r="H52" s="8" t="str">
        <f>IF($B52="","",INDEX(Simulador!$B$7:$B$232,MATCH($B52,Simulador!$A$7:$A$232,0)))</f>
        <v>Pequenos</v>
      </c>
      <c r="I52" s="13">
        <f>IF(OR(H52="",$D52=""),"",INDEX(Ref_Frete!$B$2:$G$54,MATCH($D52,Ref_Frete!$A$2:$A$54,0),IF(H52="Pequenos",2,IF(H52="Medios",4,6))))</f>
        <v>24.9</v>
      </c>
      <c r="J52" s="20">
        <v>14.3</v>
      </c>
      <c r="K52" s="20">
        <f t="shared" si="11"/>
        <v>21.3</v>
      </c>
      <c r="L52" s="13">
        <f>IF(OR($B52="",$C52=""),"",$C52*INDEX(Simulador!$F$7:$F$232,MATCH($B52,Simulador!$A$7:$A$232,0)))</f>
        <v>63.11</v>
      </c>
      <c r="M52" s="13">
        <f t="shared" si="7"/>
        <v>13.290000000000001</v>
      </c>
      <c r="N52" s="35">
        <f t="shared" si="8"/>
        <v>45.800000000000004</v>
      </c>
      <c r="O52" s="12">
        <f t="shared" si="9"/>
        <v>0.34462001504890899</v>
      </c>
      <c r="P52" s="22" t="str">
        <f t="shared" si="10"/>
        <v>ACIMA DA META (&gt;20%)</v>
      </c>
      <c r="Q52" s="19"/>
      <c r="R52" s="19"/>
      <c r="S52" t="s">
        <v>560</v>
      </c>
    </row>
    <row r="53" spans="1:19" ht="15" customHeight="1" x14ac:dyDescent="0.25">
      <c r="A53" s="32">
        <v>46266</v>
      </c>
      <c r="B53" s="19" t="s">
        <v>109</v>
      </c>
      <c r="C53" s="19">
        <v>1</v>
      </c>
      <c r="D53" s="19" t="s">
        <v>225</v>
      </c>
      <c r="E53" s="20">
        <f>IF($B53="","",INDEX(Simulador!$D$7:$D$232,MATCH($B53,Simulador!$A$7:$A$232,0)))</f>
        <v>143.13</v>
      </c>
      <c r="F53" s="20"/>
      <c r="G53" s="13">
        <f t="shared" si="6"/>
        <v>143.13</v>
      </c>
      <c r="H53" s="8" t="str">
        <f>IF($B53="","",INDEX(Simulador!$B$7:$B$232,MATCH($B53,Simulador!$A$7:$A$232,0)))</f>
        <v>Pequenos</v>
      </c>
      <c r="I53" s="13">
        <f>IF(OR(H53="",$D53=""),"",INDEX(Ref_Frete!$B$2:$G$54,MATCH($D53,Ref_Frete!$A$2:$A$54,0),IF(H53="Pequenos",2,IF(H53="Medios",4,6))))</f>
        <v>42</v>
      </c>
      <c r="J53" s="20">
        <v>19.45</v>
      </c>
      <c r="K53" s="20">
        <f t="shared" si="11"/>
        <v>24.99</v>
      </c>
      <c r="L53" s="13">
        <f>IF(OR($B53="",$C53=""),"",$C53*INDEX(Simulador!$F$7:$F$232,MATCH($B53,Simulador!$A$7:$A$232,0)))</f>
        <v>69.27</v>
      </c>
      <c r="M53" s="13">
        <f t="shared" si="7"/>
        <v>14.313000000000001</v>
      </c>
      <c r="N53" s="35">
        <f t="shared" si="8"/>
        <v>57.106999999999999</v>
      </c>
      <c r="O53" s="12">
        <f t="shared" si="9"/>
        <v>0.39898693495423743</v>
      </c>
      <c r="P53" s="22" t="str">
        <f t="shared" si="10"/>
        <v>ACIMA DA META (&gt;20%)</v>
      </c>
      <c r="Q53" s="19" t="s">
        <v>562</v>
      </c>
      <c r="R53" s="19"/>
      <c r="S53" t="s">
        <v>558</v>
      </c>
    </row>
    <row r="54" spans="1:19" ht="15" customHeight="1" x14ac:dyDescent="0.25">
      <c r="A54" s="32">
        <v>46267</v>
      </c>
      <c r="B54" s="19" t="s">
        <v>37</v>
      </c>
      <c r="C54" s="19">
        <v>1</v>
      </c>
      <c r="D54" s="19" t="s">
        <v>215</v>
      </c>
      <c r="E54" s="20">
        <f>IF($B54="","",INDEX(Simulador!$D$7:$D$232,MATCH($B54,Simulador!$A$7:$A$232,0)))</f>
        <v>116</v>
      </c>
      <c r="F54" s="20"/>
      <c r="G54" s="13">
        <f t="shared" si="6"/>
        <v>116</v>
      </c>
      <c r="H54" s="8" t="str">
        <f>IF($B54="","",INDEX(Simulador!$B$7:$B$232,MATCH($B54,Simulador!$A$7:$A$232,0)))</f>
        <v>Pequenos</v>
      </c>
      <c r="I54" s="13">
        <f>IF(OR(H54="",$D54=""),"",INDEX(Ref_Frete!$B$2:$G$54,MATCH($D54,Ref_Frete!$A$2:$A$54,0),IF(H54="Pequenos",2,IF(H54="Medios",4,6))))</f>
        <v>24.9</v>
      </c>
      <c r="J54" s="20">
        <v>17.46</v>
      </c>
      <c r="K54" s="20">
        <f t="shared" si="11"/>
        <v>19.02</v>
      </c>
      <c r="L54" s="13">
        <f>IF(OR($B54="",$C54=""),"",$C54*INDEX(Simulador!$F$7:$F$232,MATCH($B54,Simulador!$A$7:$A$232,0)))</f>
        <v>54.47</v>
      </c>
      <c r="M54" s="13">
        <f t="shared" si="7"/>
        <v>11.600000000000001</v>
      </c>
      <c r="N54" s="35">
        <f t="shared" si="8"/>
        <v>38.35</v>
      </c>
      <c r="O54" s="12">
        <f t="shared" si="9"/>
        <v>0.33060344827586208</v>
      </c>
      <c r="P54" s="22" t="str">
        <f t="shared" si="10"/>
        <v>ACIMA DA META (&gt;20%)</v>
      </c>
      <c r="Q54" s="19" t="s">
        <v>561</v>
      </c>
      <c r="R54" s="19"/>
      <c r="S54" t="s">
        <v>558</v>
      </c>
    </row>
    <row r="55" spans="1:19" ht="15" customHeight="1" x14ac:dyDescent="0.25">
      <c r="A55" s="32">
        <v>46268</v>
      </c>
      <c r="B55" s="19" t="s">
        <v>57</v>
      </c>
      <c r="C55" s="19">
        <v>1</v>
      </c>
      <c r="D55" s="19" t="s">
        <v>206</v>
      </c>
      <c r="E55" s="20">
        <f>IF($B55="","",INDEX(Simulador!$D$7:$D$232,MATCH($B55,Simulador!$A$7:$A$232,0)))</f>
        <v>616.17999999999995</v>
      </c>
      <c r="F55" s="20"/>
      <c r="G55" s="13">
        <f t="shared" si="6"/>
        <v>616.17999999999995</v>
      </c>
      <c r="H55" s="8" t="str">
        <f>IF($B55="","",INDEX(Simulador!$B$7:$B$232,MATCH($B55,Simulador!$A$7:$A$232,0)))</f>
        <v>Medios</v>
      </c>
      <c r="I55" s="13">
        <f>IF(OR(H55="",$D55=""),"",INDEX(Ref_Frete!$B$2:$G$54,MATCH($D55,Ref_Frete!$A$2:$A$54,0),IF(H55="Pequenos",2,IF(H55="Medios",4,6))))</f>
        <v>122</v>
      </c>
      <c r="J55" s="20">
        <v>68.33</v>
      </c>
      <c r="K55" s="20">
        <f t="shared" si="11"/>
        <v>99.65</v>
      </c>
      <c r="L55" s="13">
        <f>IF(OR($B55="",$C55=""),"",$C55*INDEX(Simulador!$F$7:$F$232,MATCH($B55,Simulador!$A$7:$A$232,0)))</f>
        <v>307.26</v>
      </c>
      <c r="M55" s="13">
        <f t="shared" si="7"/>
        <v>61.617999999999995</v>
      </c>
      <c r="N55" s="35">
        <f t="shared" si="8"/>
        <v>201.32199999999995</v>
      </c>
      <c r="O55" s="12">
        <f t="shared" si="9"/>
        <v>0.32672595670096394</v>
      </c>
      <c r="P55" s="22" t="str">
        <f t="shared" si="10"/>
        <v>ACIMA DA META (&gt;20%)</v>
      </c>
      <c r="R55" s="19"/>
      <c r="S55" t="s">
        <v>560</v>
      </c>
    </row>
    <row r="56" spans="1:19" ht="15" customHeight="1" x14ac:dyDescent="0.25">
      <c r="A56" s="32">
        <v>46270</v>
      </c>
      <c r="B56" s="19" t="s">
        <v>37</v>
      </c>
      <c r="C56" s="19">
        <v>1</v>
      </c>
      <c r="D56" s="19" t="s">
        <v>211</v>
      </c>
      <c r="E56" s="20">
        <f>IF($B56="","",INDEX(Simulador!$D$7:$D$232,MATCH($B56,Simulador!$A$7:$A$232,0)))</f>
        <v>116</v>
      </c>
      <c r="F56" s="20"/>
      <c r="G56" s="13">
        <f t="shared" si="6"/>
        <v>116</v>
      </c>
      <c r="H56" s="8" t="str">
        <f>IF($B56="","",INDEX(Simulador!$B$7:$B$232,MATCH($B56,Simulador!$A$7:$A$232,0)))</f>
        <v>Pequenos</v>
      </c>
      <c r="I56" s="13">
        <f>IF(OR(H56="",$D56=""),"",INDEX(Ref_Frete!$B$2:$G$54,MATCH($D56,Ref_Frete!$A$2:$A$54,0),IF(H56="Pequenos",2,IF(H56="Medios",4,6))))</f>
        <v>12.9</v>
      </c>
      <c r="J56" s="20">
        <v>12.87</v>
      </c>
      <c r="K56" s="20">
        <f t="shared" si="11"/>
        <v>17.399999999999999</v>
      </c>
      <c r="L56" s="13">
        <f>IF(OR($B56="",$C56=""),"",$C56*INDEX(Simulador!$F$7:$F$232,MATCH($B56,Simulador!$A$7:$A$232,0)))</f>
        <v>54.47</v>
      </c>
      <c r="M56" s="13">
        <f t="shared" si="7"/>
        <v>11.600000000000001</v>
      </c>
      <c r="N56" s="35">
        <f t="shared" si="8"/>
        <v>32.559999999999995</v>
      </c>
      <c r="O56" s="12">
        <f t="shared" si="9"/>
        <v>0.28068965517241373</v>
      </c>
      <c r="P56" s="22" t="str">
        <f t="shared" si="10"/>
        <v>ACIMA DA META (&gt;20%)</v>
      </c>
      <c r="Q56" s="19"/>
      <c r="R56" s="19"/>
      <c r="S56" t="s">
        <v>560</v>
      </c>
    </row>
    <row r="57" spans="1:19" ht="15" customHeight="1" x14ac:dyDescent="0.25">
      <c r="A57" s="32">
        <v>46272</v>
      </c>
      <c r="B57" s="19" t="s">
        <v>161</v>
      </c>
      <c r="C57" s="19">
        <v>1</v>
      </c>
      <c r="D57" s="19" t="s">
        <v>98</v>
      </c>
      <c r="E57" s="20">
        <f>IF($B57="","",INDEX(Simulador!$D$7:$D$232,MATCH($B57,Simulador!$A$7:$A$232,0)))</f>
        <v>248.75</v>
      </c>
      <c r="F57" s="20">
        <v>24.87</v>
      </c>
      <c r="G57" s="13">
        <f t="shared" si="6"/>
        <v>223.88</v>
      </c>
      <c r="H57" s="8" t="str">
        <f>IF($B57="","",INDEX(Simulador!$B$7:$B$232,MATCH($B57,Simulador!$A$7:$A$232,0)))</f>
        <v>Medios</v>
      </c>
      <c r="I57" s="13">
        <f>IF(OR(H57="",$D57=""),"",INDEX(Ref_Frete!$B$2:$G$54,MATCH($D57,Ref_Frete!$A$2:$A$54,0),IF(H57="Pequenos",2,IF(H57="Medios",4,6))))</f>
        <v>39.9</v>
      </c>
      <c r="J57" s="20">
        <v>26.34</v>
      </c>
      <c r="K57" s="20">
        <f t="shared" si="11"/>
        <v>35.61</v>
      </c>
      <c r="L57" s="13">
        <f>IF(OR($B57="",$C57=""),"",$C57*INDEX(Simulador!$F$7:$F$232,MATCH($B57,Simulador!$A$7:$A$232,0)))</f>
        <v>124.42</v>
      </c>
      <c r="M57" s="13">
        <f t="shared" si="7"/>
        <v>22.388000000000002</v>
      </c>
      <c r="N57" s="35">
        <f t="shared" si="8"/>
        <v>55.021999999999977</v>
      </c>
      <c r="O57" s="12">
        <f t="shared" si="9"/>
        <v>0.24576558870823645</v>
      </c>
      <c r="P57" s="22" t="str">
        <f t="shared" si="10"/>
        <v>ACIMA DA META (&gt;20%)</v>
      </c>
      <c r="Q57" s="19"/>
      <c r="R57" s="19"/>
      <c r="S57" t="s">
        <v>560</v>
      </c>
    </row>
    <row r="58" spans="1:19" ht="15" customHeight="1" x14ac:dyDescent="0.25">
      <c r="A58" s="32">
        <v>46273</v>
      </c>
      <c r="B58" s="19" t="s">
        <v>126</v>
      </c>
      <c r="C58" s="19">
        <v>2</v>
      </c>
      <c r="D58" s="19" t="s">
        <v>410</v>
      </c>
      <c r="E58" s="20">
        <f>IF($B58="","",INDEX(Simulador!$D$7:$D$232,MATCH($B58,Simulador!$A$7:$A$232,0)))</f>
        <v>167.89</v>
      </c>
      <c r="F58" s="20">
        <v>33.58</v>
      </c>
      <c r="G58" s="13">
        <f t="shared" si="6"/>
        <v>302.2</v>
      </c>
      <c r="H58" s="8" t="str">
        <f>IF($B58="","",INDEX(Simulador!$B$7:$B$232,MATCH($B58,Simulador!$A$7:$A$232,0)))</f>
        <v>Pequenos</v>
      </c>
      <c r="I58" s="13">
        <f>IF(OR(H58="",$D58=""),"",INDEX(Ref_Frete!$B$2:$G$54,MATCH($D58,Ref_Frete!$A$2:$A$54,0),IF(H58="Pequenos",2,IF(H58="Medios",4,6))))</f>
        <v>29.9</v>
      </c>
      <c r="J58" s="20">
        <v>23.41</v>
      </c>
      <c r="K58" s="20">
        <f t="shared" si="11"/>
        <v>44.83</v>
      </c>
      <c r="L58" s="13">
        <f>IF(OR($B58="",$C58=""),"",$C58*INDEX(Simulador!$F$7:$F$232,MATCH($B58,Simulador!$A$7:$A$232,0)))</f>
        <v>169.58</v>
      </c>
      <c r="M58" s="13">
        <f t="shared" si="7"/>
        <v>30.22</v>
      </c>
      <c r="N58" s="35">
        <f t="shared" si="8"/>
        <v>64.059999999999945</v>
      </c>
      <c r="O58" s="12">
        <f t="shared" si="9"/>
        <v>0.21197882197220366</v>
      </c>
      <c r="P58" s="22" t="str">
        <f t="shared" si="10"/>
        <v>ACIMA DA META (&gt;20%)</v>
      </c>
      <c r="Q58" s="19"/>
      <c r="R58" s="19"/>
      <c r="S58" t="s">
        <v>560</v>
      </c>
    </row>
    <row r="59" spans="1:19" ht="15" customHeight="1" x14ac:dyDescent="0.25">
      <c r="A59" s="32">
        <v>46273</v>
      </c>
      <c r="B59" s="19" t="s">
        <v>126</v>
      </c>
      <c r="C59" s="19">
        <v>1</v>
      </c>
      <c r="D59" s="19" t="s">
        <v>213</v>
      </c>
      <c r="E59" s="20">
        <f>IF($B59="","",INDEX(Simulador!$D$7:$D$232,MATCH($B59,Simulador!$A$7:$A$232,0)))</f>
        <v>167.89</v>
      </c>
      <c r="F59" s="20">
        <v>16.79</v>
      </c>
      <c r="G59" s="13">
        <f t="shared" si="6"/>
        <v>151.1</v>
      </c>
      <c r="H59" s="8" t="str">
        <f>IF($B59="","",INDEX(Simulador!$B$7:$B$232,MATCH($B59,Simulador!$A$7:$A$232,0)))</f>
        <v>Pequenos</v>
      </c>
      <c r="I59" s="13">
        <f>IF(OR(H59="",$D59=""),"",INDEX(Ref_Frete!$B$2:$G$54,MATCH($D59,Ref_Frete!$A$2:$A$54,0),IF(H59="Pequenos",2,IF(H59="Medios",4,6))))</f>
        <v>24.9</v>
      </c>
      <c r="J59" s="20">
        <v>14.22</v>
      </c>
      <c r="K59" s="20">
        <f t="shared" si="11"/>
        <v>23.76</v>
      </c>
      <c r="L59" s="13">
        <f>IF(OR($B59="",$C59=""),"",$C59*INDEX(Simulador!$F$7:$F$232,MATCH($B59,Simulador!$A$7:$A$232,0)))</f>
        <v>84.79</v>
      </c>
      <c r="M59" s="13">
        <f t="shared" si="7"/>
        <v>15.11</v>
      </c>
      <c r="N59" s="35">
        <f t="shared" si="8"/>
        <v>38.120000000000005</v>
      </c>
      <c r="O59" s="12">
        <f t="shared" si="9"/>
        <v>0.25228325612177371</v>
      </c>
      <c r="P59" s="22" t="str">
        <f t="shared" si="10"/>
        <v>ACIMA DA META (&gt;20%)</v>
      </c>
      <c r="Q59" s="19"/>
      <c r="R59" s="19"/>
      <c r="S59" t="s">
        <v>560</v>
      </c>
    </row>
    <row r="60" spans="1:19" ht="15" customHeight="1" x14ac:dyDescent="0.25">
      <c r="A60" s="32">
        <v>46277</v>
      </c>
      <c r="B60" s="19" t="s">
        <v>138</v>
      </c>
      <c r="C60" s="19">
        <v>1</v>
      </c>
      <c r="D60" s="19" t="s">
        <v>208</v>
      </c>
      <c r="E60" s="20">
        <f>IF($B60="","",INDEX(Simulador!$D$7:$D$232,MATCH($B60,Simulador!$A$7:$A$232,0)))</f>
        <v>398.35</v>
      </c>
      <c r="F60" s="20"/>
      <c r="G60" s="13">
        <f t="shared" si="6"/>
        <v>398.35</v>
      </c>
      <c r="H60" s="8" t="str">
        <f>IF($B60="","",INDEX(Simulador!$B$7:$B$232,MATCH($B60,Simulador!$A$7:$A$232,0)))</f>
        <v>Medios</v>
      </c>
      <c r="I60" s="13">
        <f>IF(OR(H60="",$D60=""),"",INDEX(Ref_Frete!$B$2:$G$54,MATCH($D60,Ref_Frete!$A$2:$A$54,0),IF(H60="Pequenos",2,IF(H60="Medios",4,6))))</f>
        <v>69.900000000000006</v>
      </c>
      <c r="J60" s="20">
        <v>35.01</v>
      </c>
      <c r="K60" s="20">
        <f t="shared" si="11"/>
        <v>63.21</v>
      </c>
      <c r="L60" s="13">
        <f>IF(OR($B60="",$C60=""),"",$C60*INDEX(Simulador!$F$7:$F$232,MATCH($B60,Simulador!$A$7:$A$232,0)))</f>
        <v>211.1</v>
      </c>
      <c r="M60" s="13">
        <f t="shared" si="7"/>
        <v>39.835000000000008</v>
      </c>
      <c r="N60" s="35">
        <f t="shared" si="8"/>
        <v>119.09500000000003</v>
      </c>
      <c r="O60" s="12">
        <f t="shared" si="9"/>
        <v>0.29897075436174225</v>
      </c>
      <c r="P60" s="22" t="str">
        <f t="shared" si="10"/>
        <v>ACIMA DA META (&gt;20%)</v>
      </c>
      <c r="Q60" s="19"/>
      <c r="R60" s="19"/>
      <c r="S60" t="s">
        <v>560</v>
      </c>
    </row>
    <row r="61" spans="1:19" ht="15" customHeight="1" x14ac:dyDescent="0.25">
      <c r="A61" s="32">
        <v>46278</v>
      </c>
      <c r="B61" s="19" t="s">
        <v>125</v>
      </c>
      <c r="C61" s="19">
        <v>3</v>
      </c>
      <c r="D61" s="19" t="s">
        <v>398</v>
      </c>
      <c r="E61" s="20">
        <f>IF($B61="","",INDEX(Simulador!$D$7:$D$232,MATCH($B61,Simulador!$A$7:$A$232,0)))</f>
        <v>203.54</v>
      </c>
      <c r="F61" s="20">
        <v>91.59</v>
      </c>
      <c r="G61" s="13">
        <f t="shared" si="6"/>
        <v>519.03</v>
      </c>
      <c r="H61" s="8" t="str">
        <f>IF($B61="","",INDEX(Simulador!$B$7:$B$232,MATCH($B61,Simulador!$A$7:$A$232,0)))</f>
        <v>Pequenos</v>
      </c>
      <c r="I61" s="13">
        <f>IF(OR(H61="",$D61=""),"",INDEX(Ref_Frete!$B$2:$G$54,MATCH($D61,Ref_Frete!$A$2:$A$54,0),IF(H61="Pequenos",2,IF(H61="Medios",4,6))))</f>
        <v>82</v>
      </c>
      <c r="J61" s="20">
        <v>77.92</v>
      </c>
      <c r="K61" s="20">
        <f t="shared" si="11"/>
        <v>81.14</v>
      </c>
      <c r="L61" s="13">
        <f>IF(OR($B61="",$C61=""),"",$C61*INDEX(Simulador!$F$7:$F$232,MATCH($B61,Simulador!$A$7:$A$232,0)))</f>
        <v>308.39999999999998</v>
      </c>
      <c r="M61" s="13">
        <f t="shared" si="7"/>
        <v>51.902999999999999</v>
      </c>
      <c r="N61" s="35">
        <f t="shared" si="8"/>
        <v>81.667000000000058</v>
      </c>
      <c r="O61" s="12">
        <f t="shared" si="9"/>
        <v>0.157345432826619</v>
      </c>
      <c r="P61" s="22" t="str">
        <f t="shared" si="10"/>
        <v>DENTRO DA META (15-20%)</v>
      </c>
      <c r="Q61" s="19"/>
      <c r="R61" s="19"/>
      <c r="S61" t="s">
        <v>560</v>
      </c>
    </row>
    <row r="62" spans="1:19" ht="15" customHeight="1" x14ac:dyDescent="0.25">
      <c r="A62" s="32">
        <v>46278</v>
      </c>
      <c r="B62" s="19" t="s">
        <v>104</v>
      </c>
      <c r="C62" s="19">
        <v>2</v>
      </c>
      <c r="D62" s="19" t="s">
        <v>211</v>
      </c>
      <c r="E62" s="20">
        <f>IF($B62="","",INDEX(Simulador!$D$7:$D$232,MATCH($B62,Simulador!$A$7:$A$232,0)))</f>
        <v>129.9</v>
      </c>
      <c r="F62" s="20"/>
      <c r="G62" s="13">
        <f t="shared" si="6"/>
        <v>259.8</v>
      </c>
      <c r="H62" s="8" t="str">
        <f>IF($B62="","",INDEX(Simulador!$B$7:$B$232,MATCH($B62,Simulador!$A$7:$A$232,0)))</f>
        <v>Pequenos</v>
      </c>
      <c r="I62" s="13">
        <f>IF(OR(H62="",$D62=""),"",INDEX(Ref_Frete!$B$2:$G$54,MATCH($D62,Ref_Frete!$A$2:$A$54,0),IF(H62="Pequenos",2,IF(H62="Medios",4,6))))</f>
        <v>12.9</v>
      </c>
      <c r="J62" s="20">
        <v>12.87</v>
      </c>
      <c r="K62" s="20">
        <f t="shared" si="11"/>
        <v>36.81</v>
      </c>
      <c r="L62" s="13">
        <f>IF(OR($B62="",$C62=""),"",$C62*INDEX(Simulador!$F$7:$F$232,MATCH($B62,Simulador!$A$7:$A$232,0)))</f>
        <v>121.24</v>
      </c>
      <c r="M62" s="13">
        <f t="shared" si="7"/>
        <v>25.980000000000004</v>
      </c>
      <c r="N62" s="35">
        <f t="shared" si="8"/>
        <v>75.799999999999983</v>
      </c>
      <c r="O62" s="12">
        <f t="shared" si="9"/>
        <v>0.29176289453425702</v>
      </c>
      <c r="P62" s="22" t="str">
        <f t="shared" si="10"/>
        <v>ACIMA DA META (&gt;20%)</v>
      </c>
      <c r="Q62" s="19" t="s">
        <v>563</v>
      </c>
      <c r="R62" s="19"/>
      <c r="S62" t="s">
        <v>558</v>
      </c>
    </row>
    <row r="63" spans="1:19" ht="15" customHeight="1" x14ac:dyDescent="0.25">
      <c r="A63" s="32">
        <v>46279</v>
      </c>
      <c r="B63" s="19" t="s">
        <v>37</v>
      </c>
      <c r="C63" s="19">
        <v>1</v>
      </c>
      <c r="D63" s="19" t="s">
        <v>211</v>
      </c>
      <c r="E63" s="20">
        <f>IF($B63="","",INDEX(Simulador!$D$7:$D$232,MATCH($B63,Simulador!$A$7:$A$232,0)))</f>
        <v>116</v>
      </c>
      <c r="F63" s="20"/>
      <c r="G63" s="13">
        <f t="shared" si="6"/>
        <v>116</v>
      </c>
      <c r="H63" s="8" t="str">
        <f>IF($B63="","",INDEX(Simulador!$B$7:$B$232,MATCH($B63,Simulador!$A$7:$A$232,0)))</f>
        <v>Pequenos</v>
      </c>
      <c r="I63" s="13">
        <f>IF(OR(H63="",$D63=""),"",INDEX(Ref_Frete!$B$2:$G$54,MATCH($D63,Ref_Frete!$A$2:$A$54,0),IF(H63="Pequenos",2,IF(H63="Medios",4,6))))</f>
        <v>12.9</v>
      </c>
      <c r="J63" s="20">
        <v>10.39</v>
      </c>
      <c r="K63" s="20">
        <f t="shared" si="11"/>
        <v>17.399999999999999</v>
      </c>
      <c r="L63" s="13">
        <f>IF(OR($B63="",$C63=""),"",$C63*INDEX(Simulador!$F$7:$F$232,MATCH($B63,Simulador!$A$7:$A$232,0)))</f>
        <v>54.47</v>
      </c>
      <c r="M63" s="13">
        <f t="shared" si="7"/>
        <v>11.600000000000001</v>
      </c>
      <c r="N63" s="35">
        <f t="shared" si="8"/>
        <v>35.040000000000013</v>
      </c>
      <c r="O63" s="12">
        <f t="shared" si="9"/>
        <v>0.30206896551724149</v>
      </c>
      <c r="P63" s="22" t="str">
        <f t="shared" si="10"/>
        <v>ACIMA DA META (&gt;20%)</v>
      </c>
      <c r="Q63" s="19"/>
      <c r="R63" s="19"/>
      <c r="S63" t="s">
        <v>560</v>
      </c>
    </row>
    <row r="64" spans="1:19" ht="15" customHeight="1" x14ac:dyDescent="0.25">
      <c r="A64" s="32">
        <v>46280</v>
      </c>
      <c r="B64" s="19" t="s">
        <v>57</v>
      </c>
      <c r="C64" s="19">
        <v>1</v>
      </c>
      <c r="D64" s="19" t="s">
        <v>211</v>
      </c>
      <c r="E64" s="20">
        <f>IF($B64="","",INDEX(Simulador!$D$7:$D$232,MATCH($B64,Simulador!$A$7:$A$232,0)))</f>
        <v>616.17999999999995</v>
      </c>
      <c r="F64" s="20"/>
      <c r="G64" s="13">
        <f t="shared" si="6"/>
        <v>616.17999999999995</v>
      </c>
      <c r="H64" s="8" t="str">
        <f>IF($B64="","",INDEX(Simulador!$B$7:$B$232,MATCH($B64,Simulador!$A$7:$A$232,0)))</f>
        <v>Medios</v>
      </c>
      <c r="I64" s="13">
        <f>IF(OR(H64="",$D64=""),"",INDEX(Ref_Frete!$B$2:$G$54,MATCH($D64,Ref_Frete!$A$2:$A$54,0),IF(H64="Pequenos",2,IF(H64="Medios",4,6))))</f>
        <v>34.9</v>
      </c>
      <c r="J64" s="20">
        <v>35.119999999999997</v>
      </c>
      <c r="K64" s="20">
        <f t="shared" si="11"/>
        <v>87.9</v>
      </c>
      <c r="L64" s="13">
        <f>IF(OR($B64="",$C64=""),"",$C64*INDEX(Simulador!$F$7:$F$232,MATCH($B64,Simulador!$A$7:$A$232,0)))</f>
        <v>307.26</v>
      </c>
      <c r="M64" s="13">
        <f t="shared" si="7"/>
        <v>61.617999999999995</v>
      </c>
      <c r="N64" s="35">
        <f t="shared" si="8"/>
        <v>159.18199999999996</v>
      </c>
      <c r="O64" s="12">
        <f t="shared" si="9"/>
        <v>0.25833684962186371</v>
      </c>
      <c r="P64" s="22" t="str">
        <f t="shared" si="10"/>
        <v>ACIMA DA META (&gt;20%)</v>
      </c>
      <c r="Q64" s="19"/>
      <c r="R64" s="19"/>
      <c r="S64" t="s">
        <v>560</v>
      </c>
    </row>
    <row r="65" spans="1:19" ht="15" customHeight="1" x14ac:dyDescent="0.25">
      <c r="A65" s="32">
        <v>46280</v>
      </c>
      <c r="B65" s="19" t="s">
        <v>106</v>
      </c>
      <c r="C65" s="19">
        <v>1</v>
      </c>
      <c r="D65" s="19" t="s">
        <v>377</v>
      </c>
      <c r="E65" s="20">
        <f>IF($B65="","",INDEX(Simulador!$D$7:$D$232,MATCH($B65,Simulador!$A$7:$A$232,0)))</f>
        <v>132.9</v>
      </c>
      <c r="F65" s="20"/>
      <c r="G65" s="13">
        <f>IF(OR($B65="",$C65=""),"",$C65*E65-IF(F65="",0,F65))</f>
        <v>132.9</v>
      </c>
      <c r="H65" s="8" t="str">
        <f>IF($B65="","",INDEX(Simulador!$B$7:$B$232,MATCH($B65,Simulador!$A$7:$A$232,0)))</f>
        <v>Pequenos</v>
      </c>
      <c r="I65" s="13">
        <f>IF(OR(H65="",$D65=""),"",INDEX(Ref_Frete!$B$2:$G$54,MATCH($D65,Ref_Frete!$A$2:$A$54,0),IF(H65="Pequenos",2,IF(H65="Medios",4,6))))</f>
        <v>52</v>
      </c>
      <c r="J65" s="20">
        <v>19.260000000000002</v>
      </c>
      <c r="K65" s="20">
        <f t="shared" si="11"/>
        <v>24.96</v>
      </c>
      <c r="L65" s="13">
        <f>IF(OR($B65="",$C65=""),"",$C65*INDEX(Simulador!$F$7:$F$232,MATCH($B65,Simulador!$A$7:$A$232,0)))</f>
        <v>63.11</v>
      </c>
      <c r="M65" s="13">
        <f t="shared" si="7"/>
        <v>13.290000000000001</v>
      </c>
      <c r="N65" s="35">
        <f t="shared" si="8"/>
        <v>64.28</v>
      </c>
      <c r="O65" s="12">
        <f t="shared" si="9"/>
        <v>0.48367193378480061</v>
      </c>
      <c r="P65" s="22" t="str">
        <f t="shared" si="10"/>
        <v>ACIMA DA META (&gt;20%)</v>
      </c>
      <c r="Q65" s="19"/>
      <c r="R65" s="19"/>
      <c r="S65" t="s">
        <v>560</v>
      </c>
    </row>
    <row r="66" spans="1:19" ht="15" customHeight="1" x14ac:dyDescent="0.25">
      <c r="A66" s="32">
        <v>46284</v>
      </c>
      <c r="B66" s="19" t="s">
        <v>106</v>
      </c>
      <c r="C66" s="19">
        <v>1</v>
      </c>
      <c r="D66" s="19" t="s">
        <v>97</v>
      </c>
      <c r="E66" s="20">
        <f>IF($B66="","",INDEX(Simulador!$D$7:$D$232,MATCH($B66,Simulador!$A$7:$A$232,0)))</f>
        <v>132.9</v>
      </c>
      <c r="F66" s="20"/>
      <c r="G66" s="13">
        <f>IF(OR($B66="",$C66=""),"",$C66*E66-IF(F66="",0,F66))</f>
        <v>132.9</v>
      </c>
      <c r="H66" s="8" t="str">
        <f>IF($B66="","",INDEX(Simulador!$B$7:$B$232,MATCH($B66,Simulador!$A$7:$A$232,0)))</f>
        <v>Pequenos</v>
      </c>
      <c r="I66" s="13">
        <f>IF(OR(H66="",$D66=""),"",INDEX(Ref_Frete!$B$2:$G$54,MATCH($D66,Ref_Frete!$A$2:$A$54,0),IF(H66="Pequenos",2,IF(H66="Medios",4,6))))</f>
        <v>24.9</v>
      </c>
      <c r="J66" s="20">
        <v>20.49</v>
      </c>
      <c r="K66" s="20">
        <f t="shared" si="11"/>
        <v>21.3</v>
      </c>
      <c r="L66" s="13">
        <f>IF(OR($B66="",$C66=""),"",$C66*INDEX(Simulador!$F$7:$F$232,MATCH($B66,Simulador!$A$7:$A$232,0)))</f>
        <v>63.11</v>
      </c>
      <c r="M66" s="13">
        <f t="shared" si="7"/>
        <v>13.290000000000001</v>
      </c>
      <c r="N66" s="35">
        <f t="shared" si="8"/>
        <v>39.610000000000007</v>
      </c>
      <c r="O66" s="12">
        <f t="shared" si="9"/>
        <v>0.29804364183596693</v>
      </c>
      <c r="P66" s="22" t="str">
        <f t="shared" si="10"/>
        <v>ACIMA DA META (&gt;20%)</v>
      </c>
      <c r="Q66" s="19"/>
      <c r="R66" s="19"/>
      <c r="S66" t="s">
        <v>560</v>
      </c>
    </row>
    <row r="67" spans="1:19" ht="15" customHeight="1" x14ac:dyDescent="0.25">
      <c r="A67" s="32">
        <v>46285</v>
      </c>
      <c r="B67" s="19" t="s">
        <v>106</v>
      </c>
      <c r="C67" s="19">
        <v>3</v>
      </c>
      <c r="D67" s="19" t="s">
        <v>211</v>
      </c>
      <c r="E67" s="20">
        <f>IF($B67="","",INDEX(Simulador!$D$7:$D$232,MATCH($B67,Simulador!$A$7:$A$232,0)))</f>
        <v>132.9</v>
      </c>
      <c r="F67" s="20">
        <v>19.940000000000001</v>
      </c>
      <c r="G67" s="13">
        <f t="shared" si="6"/>
        <v>378.76000000000005</v>
      </c>
      <c r="H67" s="8" t="str">
        <f>IF($B67="","",INDEX(Simulador!$B$7:$B$232,MATCH($B67,Simulador!$A$7:$A$232,0)))</f>
        <v>Pequenos</v>
      </c>
      <c r="I67" s="13">
        <f>IF(OR(H67="",$D67=""),"",INDEX(Ref_Frete!$B$2:$G$54,MATCH($D67,Ref_Frete!$A$2:$A$54,0),IF(H67="Pequenos",2,IF(H67="Medios",4,6))))</f>
        <v>12.9</v>
      </c>
      <c r="J67" s="20">
        <v>22.01</v>
      </c>
      <c r="K67" s="20">
        <f t="shared" si="11"/>
        <v>52.87</v>
      </c>
      <c r="L67" s="13">
        <f>IF(OR($B67="",$C67=""),"",$C67*INDEX(Simulador!$F$7:$F$232,MATCH($B67,Simulador!$A$7:$A$232,0)))</f>
        <v>189.32999999999998</v>
      </c>
      <c r="M67" s="13">
        <f t="shared" si="7"/>
        <v>37.876000000000005</v>
      </c>
      <c r="N67" s="35">
        <f t="shared" si="8"/>
        <v>89.574000000000041</v>
      </c>
      <c r="O67" s="12">
        <f t="shared" si="9"/>
        <v>0.23649276586756793</v>
      </c>
      <c r="P67" s="22" t="str">
        <f t="shared" si="10"/>
        <v>ACIMA DA META (&gt;20%)</v>
      </c>
      <c r="Q67" s="19"/>
      <c r="R67" s="19"/>
      <c r="S67" t="s">
        <v>560</v>
      </c>
    </row>
    <row r="68" spans="1:19" ht="15" customHeight="1" x14ac:dyDescent="0.25">
      <c r="A68" s="32">
        <v>46287</v>
      </c>
      <c r="B68" s="19" t="s">
        <v>125</v>
      </c>
      <c r="C68" s="19">
        <v>2</v>
      </c>
      <c r="D68" s="19" t="s">
        <v>231</v>
      </c>
      <c r="E68" s="20">
        <f>IF($B68="","",INDEX(Simulador!$D$7:$D$232,MATCH($B68,Simulador!$A$7:$A$232,0)))</f>
        <v>203.54</v>
      </c>
      <c r="F68" s="20">
        <v>20.36</v>
      </c>
      <c r="G68" s="13">
        <f t="shared" si="6"/>
        <v>386.71999999999997</v>
      </c>
      <c r="H68" s="8" t="str">
        <f>IF($B68="","",INDEX(Simulador!$B$7:$B$232,MATCH($B68,Simulador!$A$7:$A$232,0)))</f>
        <v>Pequenos</v>
      </c>
      <c r="I68" s="13">
        <f>IF(OR(H68="",$D68=""),"",INDEX(Ref_Frete!$B$2:$G$54,MATCH($D68,Ref_Frete!$A$2:$A$54,0),IF(H68="Pequenos",2,IF(H68="Medios",4,6))))</f>
        <v>70</v>
      </c>
      <c r="J68" s="20">
        <v>58.63</v>
      </c>
      <c r="K68" s="20">
        <f t="shared" si="11"/>
        <v>61.66</v>
      </c>
      <c r="L68" s="13">
        <f>IF(OR($B68="",$C68=""),"",$C68*INDEX(Simulador!$F$7:$F$232,MATCH($B68,Simulador!$A$7:$A$232,0)))</f>
        <v>205.6</v>
      </c>
      <c r="M68" s="13">
        <f t="shared" si="7"/>
        <v>38.671999999999997</v>
      </c>
      <c r="N68" s="35">
        <f t="shared" si="8"/>
        <v>92.157999999999959</v>
      </c>
      <c r="O68" s="12">
        <f t="shared" si="9"/>
        <v>0.23830678527099702</v>
      </c>
      <c r="P68" s="22" t="str">
        <f t="shared" si="10"/>
        <v>ACIMA DA META (&gt;20%)</v>
      </c>
      <c r="Q68" s="19"/>
      <c r="R68" s="19"/>
      <c r="S68" t="s">
        <v>560</v>
      </c>
    </row>
    <row r="69" spans="1:19" ht="15" customHeight="1" x14ac:dyDescent="0.25">
      <c r="A69" s="32">
        <v>46288</v>
      </c>
      <c r="B69" s="19" t="s">
        <v>129</v>
      </c>
      <c r="C69" s="19">
        <v>1</v>
      </c>
      <c r="D69" s="19" t="s">
        <v>410</v>
      </c>
      <c r="E69" s="20">
        <f>IF($B69="","",INDEX(Simulador!$D$7:$D$232,MATCH($B69,Simulador!$A$7:$A$232,0)))</f>
        <v>674.62</v>
      </c>
      <c r="F69" s="20"/>
      <c r="G69" s="13">
        <f t="shared" si="6"/>
        <v>674.62</v>
      </c>
      <c r="H69" s="8" t="str">
        <f>IF($B69="","",INDEX(Simulador!$B$7:$B$232,MATCH($B69,Simulador!$A$7:$A$232,0)))</f>
        <v>Medios</v>
      </c>
      <c r="I69" s="13">
        <f>IF(OR(H69="",$D69=""),"",INDEX(Ref_Frete!$B$2:$G$54,MATCH($D69,Ref_Frete!$A$2:$A$54,0),IF(H69="Pequenos",2,IF(H69="Medios",4,6))))</f>
        <v>69.900000000000006</v>
      </c>
      <c r="J69" s="20">
        <v>34.14</v>
      </c>
      <c r="K69" s="20">
        <f t="shared" si="11"/>
        <v>100.51</v>
      </c>
      <c r="L69" s="13">
        <f>IF(OR($B69="",$C69=""),"",$C69*INDEX(Simulador!$F$7:$F$232,MATCH($B69,Simulador!$A$7:$A$232,0)))</f>
        <v>365.7</v>
      </c>
      <c r="M69" s="13">
        <f t="shared" si="7"/>
        <v>67.462000000000003</v>
      </c>
      <c r="N69" s="35">
        <f t="shared" si="8"/>
        <v>176.70800000000003</v>
      </c>
      <c r="O69" s="12">
        <f t="shared" si="9"/>
        <v>0.26193709051021319</v>
      </c>
      <c r="P69" s="22" t="str">
        <f t="shared" si="10"/>
        <v>ACIMA DA META (&gt;20%)</v>
      </c>
      <c r="Q69" s="19"/>
      <c r="R69" s="19"/>
      <c r="S69" t="s">
        <v>560</v>
      </c>
    </row>
    <row r="70" spans="1:19" ht="15" customHeight="1" x14ac:dyDescent="0.25">
      <c r="A70" s="32">
        <v>46289</v>
      </c>
      <c r="B70" s="19" t="s">
        <v>37</v>
      </c>
      <c r="C70" s="19">
        <v>1</v>
      </c>
      <c r="D70" s="19" t="s">
        <v>412</v>
      </c>
      <c r="E70" s="20">
        <f>IF($B70="","",INDEX(Simulador!$D$7:$D$232,MATCH($B70,Simulador!$A$7:$A$232,0)))</f>
        <v>116</v>
      </c>
      <c r="F70" s="20">
        <v>5.8</v>
      </c>
      <c r="G70" s="13">
        <f t="shared" ref="G70:G101" si="12">IF(OR($B70="",$C70=""),"",$C70*E70-IF(F70="",0,F70))</f>
        <v>110.2</v>
      </c>
      <c r="H70" s="8" t="str">
        <f>IF($B70="","",INDEX(Simulador!$B$7:$B$232,MATCH($B70,Simulador!$A$7:$A$232,0)))</f>
        <v>Pequenos</v>
      </c>
      <c r="I70" s="13">
        <f>IF(OR(H70="",$D70=""),"",INDEX(Ref_Frete!$B$2:$G$54,MATCH($D70,Ref_Frete!$A$2:$A$54,0),IF(H70="Pequenos",2,IF(H70="Medios",4,6))))</f>
        <v>29.9</v>
      </c>
      <c r="J70" s="20">
        <v>21.78</v>
      </c>
      <c r="K70" s="20">
        <f t="shared" si="11"/>
        <v>18.91</v>
      </c>
      <c r="L70" s="13">
        <f>IF(OR($B70="",$C70=""),"",$C70*INDEX(Simulador!$F$7:$F$232,MATCH($B70,Simulador!$A$7:$A$232,0)))</f>
        <v>54.47</v>
      </c>
      <c r="M70" s="13">
        <f t="shared" ref="M70:M101" si="13">IF(G70="","",G70*$B$3)</f>
        <v>11.020000000000001</v>
      </c>
      <c r="N70" s="35">
        <f t="shared" ref="N70:N101" si="14">IF(OR(G70="",J70=""),"",G70+IF(I70="",0,I70)-J70-K70-L70-M70)</f>
        <v>33.919999999999995</v>
      </c>
      <c r="O70" s="12">
        <f t="shared" ref="O70:O101" si="15">IF(OR(N70="",G70=0,G70=""),"",N70/G70)</f>
        <v>0.30780399274047182</v>
      </c>
      <c r="P70" s="22" t="str">
        <f t="shared" ref="P70:P101" si="16">IF(O70="","",IF(O70&lt;0,"PREJUÍZO",IF(O70&lt;0.1,"CRÍTICO (&lt;10%)",IF(O70&lt;0.15,"ABAIXO DA META (10-15%)",IF(O70&lt;=0.2,"DENTRO DA META (15-20%)","ACIMA DA META (&gt;20%)")))))</f>
        <v>ACIMA DA META (&gt;20%)</v>
      </c>
      <c r="Q70" s="19"/>
      <c r="R70" s="19"/>
      <c r="S70" t="s">
        <v>560</v>
      </c>
    </row>
    <row r="71" spans="1:19" ht="15" customHeight="1" x14ac:dyDescent="0.25">
      <c r="A71" s="32">
        <v>46289</v>
      </c>
      <c r="B71" s="19" t="s">
        <v>125</v>
      </c>
      <c r="C71" s="19">
        <v>3</v>
      </c>
      <c r="D71" s="19" t="s">
        <v>411</v>
      </c>
      <c r="E71" s="20">
        <f>IF($B71="","",INDEX(Simulador!$D$7:$D$232,MATCH($B71,Simulador!$A$7:$A$232,0)))</f>
        <v>203.54</v>
      </c>
      <c r="F71" s="20">
        <v>59.54</v>
      </c>
      <c r="G71" s="13">
        <f t="shared" si="12"/>
        <v>551.08000000000004</v>
      </c>
      <c r="H71" s="8" t="str">
        <f>IF($B71="","",INDEX(Simulador!$B$7:$B$232,MATCH($B71,Simulador!$A$7:$A$232,0)))</f>
        <v>Pequenos</v>
      </c>
      <c r="I71" s="13">
        <f>IF(OR(H71="",$D71=""),"",INDEX(Ref_Frete!$B$2:$G$54,MATCH($D71,Ref_Frete!$A$2:$A$54,0),IF(H71="Pequenos",2,IF(H71="Medios",4,6))))</f>
        <v>24.9</v>
      </c>
      <c r="J71" s="20">
        <v>48.63</v>
      </c>
      <c r="K71" s="20">
        <f t="shared" si="11"/>
        <v>77.760000000000005</v>
      </c>
      <c r="L71" s="13">
        <f>IF(OR($B71="",$C71=""),"",$C71*INDEX(Simulador!$F$7:$F$232,MATCH($B71,Simulador!$A$7:$A$232,0)))</f>
        <v>308.39999999999998</v>
      </c>
      <c r="M71" s="13">
        <f t="shared" si="13"/>
        <v>55.108000000000004</v>
      </c>
      <c r="N71" s="35">
        <f t="shared" si="14"/>
        <v>86.08200000000005</v>
      </c>
      <c r="O71" s="12">
        <f t="shared" si="15"/>
        <v>0.15620599549974604</v>
      </c>
      <c r="P71" s="22" t="str">
        <f t="shared" si="16"/>
        <v>DENTRO DA META (15-20%)</v>
      </c>
      <c r="Q71" s="19"/>
      <c r="R71" s="19"/>
      <c r="S71" t="s">
        <v>560</v>
      </c>
    </row>
    <row r="72" spans="1:19" ht="15" customHeight="1" x14ac:dyDescent="0.25">
      <c r="A72" s="32">
        <v>46291</v>
      </c>
      <c r="B72" s="19" t="s">
        <v>37</v>
      </c>
      <c r="C72" s="19">
        <v>1</v>
      </c>
      <c r="D72" s="19" t="s">
        <v>97</v>
      </c>
      <c r="E72" s="20">
        <f>IF($B72="","",INDEX(Simulador!$D$7:$D$232,MATCH($B72,Simulador!$A$7:$A$232,0)))</f>
        <v>116</v>
      </c>
      <c r="F72" s="20">
        <v>5.8</v>
      </c>
      <c r="G72" s="13">
        <f t="shared" si="12"/>
        <v>110.2</v>
      </c>
      <c r="H72" s="8" t="str">
        <f>IF($B72="","",INDEX(Simulador!$B$7:$B$232,MATCH($B72,Simulador!$A$7:$A$232,0)))</f>
        <v>Pequenos</v>
      </c>
      <c r="I72" s="13">
        <f>IF(OR(H72="",$D72=""),"",INDEX(Ref_Frete!$B$2:$G$54,MATCH($D72,Ref_Frete!$A$2:$A$54,0),IF(H72="Pequenos",2,IF(H72="Medios",4,6))))</f>
        <v>24.9</v>
      </c>
      <c r="J72" s="20">
        <v>16.89</v>
      </c>
      <c r="K72" s="20">
        <f t="shared" si="11"/>
        <v>18.239999999999998</v>
      </c>
      <c r="L72" s="13">
        <f>IF(OR($B72="",$C72=""),"",$C72*INDEX(Simulador!$F$7:$F$232,MATCH($B72,Simulador!$A$7:$A$232,0)))</f>
        <v>54.47</v>
      </c>
      <c r="M72" s="13">
        <f t="shared" si="13"/>
        <v>11.020000000000001</v>
      </c>
      <c r="N72" s="35">
        <f t="shared" si="14"/>
        <v>34.479999999999997</v>
      </c>
      <c r="O72" s="12">
        <f t="shared" si="15"/>
        <v>0.31288566243194188</v>
      </c>
      <c r="P72" s="22" t="str">
        <f t="shared" si="16"/>
        <v>ACIMA DA META (&gt;20%)</v>
      </c>
      <c r="Q72" s="19"/>
      <c r="R72" s="19"/>
      <c r="S72" t="s">
        <v>560</v>
      </c>
    </row>
    <row r="73" spans="1:19" ht="15" customHeight="1" x14ac:dyDescent="0.25">
      <c r="A73" s="32">
        <v>46293</v>
      </c>
      <c r="B73" s="19" t="s">
        <v>108</v>
      </c>
      <c r="C73" s="19">
        <v>1</v>
      </c>
      <c r="D73" s="19" t="s">
        <v>408</v>
      </c>
      <c r="E73" s="20">
        <f>IF($B73="","",INDEX(Simulador!$D$7:$D$232,MATCH($B73,Simulador!$A$7:$A$232,0)))</f>
        <v>153.72</v>
      </c>
      <c r="F73" s="20"/>
      <c r="G73" s="13">
        <f t="shared" si="12"/>
        <v>153.72</v>
      </c>
      <c r="H73" s="8" t="str">
        <f>IF($B73="","",INDEX(Simulador!$B$7:$B$232,MATCH($B73,Simulador!$A$7:$A$232,0)))</f>
        <v>Pequenos</v>
      </c>
      <c r="I73" s="13">
        <f>IF(OR(H73="",$D73=""),"",INDEX(Ref_Frete!$B$2:$G$54,MATCH($D73,Ref_Frete!$A$2:$A$54,0),IF(H73="Pequenos",2,IF(H73="Medios",4,6))))</f>
        <v>29.9</v>
      </c>
      <c r="J73" s="20">
        <v>23.87</v>
      </c>
      <c r="K73" s="20">
        <f t="shared" si="11"/>
        <v>24.79</v>
      </c>
      <c r="L73" s="13">
        <f>IF(OR($B73="",$C73=""),"",$C73*INDEX(Simulador!$F$7:$F$232,MATCH($B73,Simulador!$A$7:$A$232,0)))</f>
        <v>75.680000000000007</v>
      </c>
      <c r="M73" s="13">
        <f t="shared" si="13"/>
        <v>15.372</v>
      </c>
      <c r="N73" s="35">
        <f t="shared" si="14"/>
        <v>43.908000000000001</v>
      </c>
      <c r="O73" s="12">
        <f t="shared" si="15"/>
        <v>0.28563622170179548</v>
      </c>
      <c r="P73" s="22" t="str">
        <f t="shared" si="16"/>
        <v>ACIMA DA META (&gt;20%)</v>
      </c>
      <c r="Q73" s="19"/>
      <c r="R73" s="19"/>
      <c r="S73" t="s">
        <v>560</v>
      </c>
    </row>
    <row r="74" spans="1:19" ht="15" customHeight="1" x14ac:dyDescent="0.25">
      <c r="A74" s="32">
        <v>46293</v>
      </c>
      <c r="B74" s="19" t="s">
        <v>33</v>
      </c>
      <c r="C74" s="19">
        <v>1</v>
      </c>
      <c r="D74" s="19" t="s">
        <v>211</v>
      </c>
      <c r="E74" s="20">
        <f>IF($B74="","",INDEX(Simulador!$D$7:$D$232,MATCH($B74,Simulador!$A$7:$A$232,0)))</f>
        <v>123.93</v>
      </c>
      <c r="F74" s="20"/>
      <c r="G74" s="13">
        <f t="shared" si="12"/>
        <v>123.93</v>
      </c>
      <c r="H74" s="8" t="str">
        <f>IF($B74="","",INDEX(Simulador!$B$7:$B$232,MATCH($B74,Simulador!$A$7:$A$232,0)))</f>
        <v>Pequenos</v>
      </c>
      <c r="I74" s="13">
        <f>IF(OR(H74="",$D74=""),"",INDEX(Ref_Frete!$B$2:$G$54,MATCH($D74,Ref_Frete!$A$2:$A$54,0),IF(H74="Pequenos",2,IF(H74="Medios",4,6))))</f>
        <v>12.9</v>
      </c>
      <c r="J74" s="20">
        <v>12.87</v>
      </c>
      <c r="K74" s="20">
        <f t="shared" ref="K74:K107" si="17">IF(G74="","",ROUND($D$3*(G74+IF(I74="",0,I74)),2))</f>
        <v>18.47</v>
      </c>
      <c r="L74" s="13">
        <f>IF(OR($B74="",$C74=""),"",$C74*INDEX(Simulador!$F$7:$F$232,MATCH($B74,Simulador!$A$7:$A$232,0)))</f>
        <v>59.8</v>
      </c>
      <c r="M74" s="13">
        <f t="shared" si="13"/>
        <v>12.393000000000001</v>
      </c>
      <c r="N74" s="35">
        <f t="shared" si="14"/>
        <v>33.297000000000011</v>
      </c>
      <c r="O74" s="12">
        <f t="shared" si="15"/>
        <v>0.26867586540789162</v>
      </c>
      <c r="P74" s="22" t="str">
        <f t="shared" si="16"/>
        <v>ACIMA DA META (&gt;20%)</v>
      </c>
      <c r="Q74" s="19"/>
      <c r="R74" s="19"/>
      <c r="S74" t="s">
        <v>560</v>
      </c>
    </row>
    <row r="75" spans="1:19" ht="15" customHeight="1" x14ac:dyDescent="0.25">
      <c r="A75" s="32">
        <v>46295</v>
      </c>
      <c r="B75" s="19" t="s">
        <v>61</v>
      </c>
      <c r="C75" s="19">
        <v>1</v>
      </c>
      <c r="D75" s="19" t="s">
        <v>247</v>
      </c>
      <c r="E75" s="20">
        <f>IF($B75="","",INDEX(Simulador!$D$7:$D$232,MATCH($B75,Simulador!$A$7:$A$232,0)))</f>
        <v>1070.17</v>
      </c>
      <c r="F75" s="20"/>
      <c r="G75" s="13">
        <f t="shared" si="12"/>
        <v>1070.17</v>
      </c>
      <c r="H75" s="8" t="str">
        <f>IF($B75="","",INDEX(Simulador!$B$7:$B$232,MATCH($B75,Simulador!$A$7:$A$232,0)))</f>
        <v>Grandes</v>
      </c>
      <c r="I75" s="13">
        <f>IF(OR(H75="",$D75=""),"",INDEX(Ref_Frete!$B$2:$G$54,MATCH($D75,Ref_Frete!$A$2:$A$54,0),IF(H75="Pequenos",2,IF(H75="Medios",4,6))))</f>
        <v>274</v>
      </c>
      <c r="J75" s="20">
        <v>171.55</v>
      </c>
      <c r="K75" s="20">
        <f t="shared" si="17"/>
        <v>181.46</v>
      </c>
      <c r="L75" s="13">
        <f>IF(OR($B75="",$C75=""),"",$C75*INDEX(Simulador!$F$7:$F$232,MATCH($B75,Simulador!$A$7:$A$232,0)))</f>
        <v>553.79</v>
      </c>
      <c r="M75" s="13">
        <f t="shared" si="13"/>
        <v>107.01700000000001</v>
      </c>
      <c r="N75" s="35">
        <f t="shared" si="14"/>
        <v>330.35300000000012</v>
      </c>
      <c r="O75" s="12">
        <f t="shared" si="15"/>
        <v>0.30869207695973544</v>
      </c>
      <c r="P75" s="22" t="str">
        <f t="shared" si="16"/>
        <v>ACIMA DA META (&gt;20%)</v>
      </c>
      <c r="Q75" s="19"/>
      <c r="R75" s="19"/>
      <c r="S75" t="s">
        <v>560</v>
      </c>
    </row>
    <row r="76" spans="1:19" ht="15" customHeight="1" x14ac:dyDescent="0.25">
      <c r="A76" s="32"/>
      <c r="B76" s="19"/>
      <c r="C76" s="19"/>
      <c r="D76" s="19"/>
      <c r="E76" s="20" t="str">
        <f>IF($B76="","",INDEX(Simulador!$D$7:$D$232,MATCH($B76,Simulador!$A$7:$A$232,0)))</f>
        <v/>
      </c>
      <c r="F76" s="20"/>
      <c r="G76" s="13" t="str">
        <f t="shared" si="12"/>
        <v/>
      </c>
      <c r="H76" s="8" t="str">
        <f>IF($B76="","",INDEX(Simulador!$B$7:$B$232,MATCH($B76,Simulador!$A$7:$A$232,0)))</f>
        <v/>
      </c>
      <c r="I76" s="13" t="str">
        <f>IF(OR(H76="",$D76=""),"",INDEX(Ref_Frete!$B$2:$G$54,MATCH($D76,Ref_Frete!$A$2:$A$54,0),IF(H76="Pequenos",2,IF(H76="Medios",4,6))))</f>
        <v/>
      </c>
      <c r="J76" s="20"/>
      <c r="K76" s="20" t="str">
        <f t="shared" si="17"/>
        <v/>
      </c>
      <c r="L76" s="13" t="str">
        <f>IF(OR($B76="",$C76=""),"",$C76*INDEX(Simulador!$F$7:$F$232,MATCH($B76,Simulador!$A$7:$A$232,0)))</f>
        <v/>
      </c>
      <c r="M76" s="13" t="str">
        <f t="shared" si="13"/>
        <v/>
      </c>
      <c r="N76" s="35" t="str">
        <f t="shared" si="14"/>
        <v/>
      </c>
      <c r="O76" s="12" t="str">
        <f t="shared" si="15"/>
        <v/>
      </c>
      <c r="P76" s="22" t="str">
        <f t="shared" si="16"/>
        <v/>
      </c>
      <c r="Q76" s="19"/>
      <c r="R76" s="19"/>
    </row>
    <row r="77" spans="1:19" ht="15" customHeight="1" x14ac:dyDescent="0.25">
      <c r="A77" s="32"/>
      <c r="B77" s="19"/>
      <c r="C77" s="19"/>
      <c r="D77" s="19"/>
      <c r="E77" s="20" t="str">
        <f>IF($B77="","",INDEX(Simulador!$D$7:$D$232,MATCH($B77,Simulador!$A$7:$A$232,0)))</f>
        <v/>
      </c>
      <c r="F77" s="20"/>
      <c r="G77" s="13" t="str">
        <f t="shared" si="12"/>
        <v/>
      </c>
      <c r="H77" s="8" t="str">
        <f>IF($B77="","",INDEX(Simulador!$B$7:$B$232,MATCH($B77,Simulador!$A$7:$A$232,0)))</f>
        <v/>
      </c>
      <c r="I77" s="13" t="str">
        <f>IF(OR(H77="",$D77=""),"",INDEX(Ref_Frete!$B$2:$G$54,MATCH($D77,Ref_Frete!$A$2:$A$54,0),IF(H77="Pequenos",2,IF(H77="Medios",4,6))))</f>
        <v/>
      </c>
      <c r="J77" s="20"/>
      <c r="K77" s="20" t="str">
        <f t="shared" si="17"/>
        <v/>
      </c>
      <c r="L77" s="13" t="str">
        <f>IF(OR($B77="",$C77=""),"",$C77*INDEX(Simulador!$F$7:$F$232,MATCH($B77,Simulador!$A$7:$A$232,0)))</f>
        <v/>
      </c>
      <c r="M77" s="13" t="str">
        <f t="shared" si="13"/>
        <v/>
      </c>
      <c r="N77" s="35" t="str">
        <f t="shared" si="14"/>
        <v/>
      </c>
      <c r="O77" s="12" t="str">
        <f t="shared" si="15"/>
        <v/>
      </c>
      <c r="P77" s="22" t="str">
        <f t="shared" si="16"/>
        <v/>
      </c>
      <c r="Q77" s="19"/>
      <c r="R77" s="19"/>
    </row>
    <row r="78" spans="1:19" ht="15" customHeight="1" x14ac:dyDescent="0.25">
      <c r="A78" s="32"/>
      <c r="B78" s="19"/>
      <c r="C78" s="19"/>
      <c r="D78" s="19"/>
      <c r="E78" s="20" t="str">
        <f>IF($B78="","",INDEX(Simulador!$D$7:$D$232,MATCH($B78,Simulador!$A$7:$A$232,0)))</f>
        <v/>
      </c>
      <c r="F78" s="20"/>
      <c r="G78" s="13" t="str">
        <f t="shared" si="12"/>
        <v/>
      </c>
      <c r="H78" s="8" t="str">
        <f>IF($B78="","",INDEX(Simulador!$B$7:$B$232,MATCH($B78,Simulador!$A$7:$A$232,0)))</f>
        <v/>
      </c>
      <c r="I78" s="13" t="str">
        <f>IF(OR(H78="",$D78=""),"",INDEX(Ref_Frete!$B$2:$G$54,MATCH($D78,Ref_Frete!$A$2:$A$54,0),IF(H78="Pequenos",2,IF(H78="Medios",4,6))))</f>
        <v/>
      </c>
      <c r="J78" s="20"/>
      <c r="K78" s="20" t="str">
        <f t="shared" si="17"/>
        <v/>
      </c>
      <c r="L78" s="13" t="str">
        <f>IF(OR($B78="",$C78=""),"",$C78*INDEX(Simulador!$F$7:$F$232,MATCH($B78,Simulador!$A$7:$A$232,0)))</f>
        <v/>
      </c>
      <c r="M78" s="13" t="str">
        <f t="shared" si="13"/>
        <v/>
      </c>
      <c r="N78" s="35" t="str">
        <f t="shared" si="14"/>
        <v/>
      </c>
      <c r="O78" s="12" t="str">
        <f t="shared" si="15"/>
        <v/>
      </c>
      <c r="P78" s="22" t="str">
        <f t="shared" si="16"/>
        <v/>
      </c>
      <c r="Q78" s="19"/>
      <c r="R78" s="19"/>
    </row>
    <row r="79" spans="1:19" ht="15" customHeight="1" x14ac:dyDescent="0.25">
      <c r="A79" s="32"/>
      <c r="B79" s="19"/>
      <c r="C79" s="19"/>
      <c r="D79" s="19"/>
      <c r="E79" s="20" t="str">
        <f>IF($B79="","",INDEX(Simulador!$D$7:$D$232,MATCH($B79,Simulador!$A$7:$A$232,0)))</f>
        <v/>
      </c>
      <c r="F79" s="20"/>
      <c r="G79" s="13" t="str">
        <f t="shared" si="12"/>
        <v/>
      </c>
      <c r="H79" s="8" t="str">
        <f>IF($B79="","",INDEX(Simulador!$B$7:$B$232,MATCH($B79,Simulador!$A$7:$A$232,0)))</f>
        <v/>
      </c>
      <c r="I79" s="13" t="str">
        <f>IF(OR(H79="",$D79=""),"",INDEX(Ref_Frete!$B$2:$G$54,MATCH($D79,Ref_Frete!$A$2:$A$54,0),IF(H79="Pequenos",2,IF(H79="Medios",4,6))))</f>
        <v/>
      </c>
      <c r="J79" s="20"/>
      <c r="K79" s="20" t="str">
        <f t="shared" si="17"/>
        <v/>
      </c>
      <c r="L79" s="13" t="str">
        <f>IF(OR($B79="",$C79=""),"",$C79*INDEX(Simulador!$F$7:$F$232,MATCH($B79,Simulador!$A$7:$A$232,0)))</f>
        <v/>
      </c>
      <c r="M79" s="13" t="str">
        <f t="shared" si="13"/>
        <v/>
      </c>
      <c r="N79" s="35" t="str">
        <f t="shared" si="14"/>
        <v/>
      </c>
      <c r="O79" s="12" t="str">
        <f t="shared" si="15"/>
        <v/>
      </c>
      <c r="P79" s="22" t="str">
        <f t="shared" si="16"/>
        <v/>
      </c>
      <c r="Q79" s="19"/>
      <c r="R79" s="19"/>
    </row>
    <row r="80" spans="1:19" ht="15" customHeight="1" x14ac:dyDescent="0.25">
      <c r="A80" s="32"/>
      <c r="B80" s="19"/>
      <c r="C80" s="19"/>
      <c r="D80" s="19"/>
      <c r="E80" s="20" t="str">
        <f>IF($B80="","",INDEX(Simulador!$D$7:$D$232,MATCH($B80,Simulador!$A$7:$A$232,0)))</f>
        <v/>
      </c>
      <c r="F80" s="20"/>
      <c r="G80" s="13" t="str">
        <f t="shared" si="12"/>
        <v/>
      </c>
      <c r="H80" s="8" t="str">
        <f>IF($B80="","",INDEX(Simulador!$B$7:$B$232,MATCH($B80,Simulador!$A$7:$A$232,0)))</f>
        <v/>
      </c>
      <c r="I80" s="13" t="str">
        <f>IF(OR(H80="",$D80=""),"",INDEX(Ref_Frete!$B$2:$G$54,MATCH($D80,Ref_Frete!$A$2:$A$54,0),IF(H80="Pequenos",2,IF(H80="Medios",4,6))))</f>
        <v/>
      </c>
      <c r="J80" s="20"/>
      <c r="K80" s="20" t="str">
        <f t="shared" si="17"/>
        <v/>
      </c>
      <c r="L80" s="13" t="str">
        <f>IF(OR($B80="",$C80=""),"",$C80*INDEX(Simulador!$F$7:$F$232,MATCH($B80,Simulador!$A$7:$A$232,0)))</f>
        <v/>
      </c>
      <c r="M80" s="13" t="str">
        <f t="shared" si="13"/>
        <v/>
      </c>
      <c r="N80" s="35" t="str">
        <f t="shared" si="14"/>
        <v/>
      </c>
      <c r="O80" s="12" t="str">
        <f t="shared" si="15"/>
        <v/>
      </c>
      <c r="P80" s="22" t="str">
        <f t="shared" si="16"/>
        <v/>
      </c>
      <c r="Q80" s="19"/>
      <c r="R80" s="19"/>
    </row>
    <row r="81" spans="1:18" ht="15" customHeight="1" x14ac:dyDescent="0.25">
      <c r="A81" s="32"/>
      <c r="B81" s="19"/>
      <c r="C81" s="19"/>
      <c r="D81" s="19"/>
      <c r="E81" s="20" t="str">
        <f>IF($B81="","",INDEX(Simulador!$D$7:$D$232,MATCH($B81,Simulador!$A$7:$A$232,0)))</f>
        <v/>
      </c>
      <c r="F81" s="20"/>
      <c r="G81" s="13" t="str">
        <f t="shared" si="12"/>
        <v/>
      </c>
      <c r="H81" s="8" t="str">
        <f>IF($B81="","",INDEX(Simulador!$B$7:$B$232,MATCH($B81,Simulador!$A$7:$A$232,0)))</f>
        <v/>
      </c>
      <c r="I81" s="13" t="str">
        <f>IF(OR(H81="",$D81=""),"",INDEX(Ref_Frete!$B$2:$G$54,MATCH($D81,Ref_Frete!$A$2:$A$54,0),IF(H81="Pequenos",2,IF(H81="Medios",4,6))))</f>
        <v/>
      </c>
      <c r="J81" s="20"/>
      <c r="K81" s="20" t="str">
        <f t="shared" si="17"/>
        <v/>
      </c>
      <c r="L81" s="13" t="str">
        <f>IF(OR($B81="",$C81=""),"",$C81*INDEX(Simulador!$F$7:$F$232,MATCH($B81,Simulador!$A$7:$A$232,0)))</f>
        <v/>
      </c>
      <c r="M81" s="13" t="str">
        <f t="shared" si="13"/>
        <v/>
      </c>
      <c r="N81" s="35" t="str">
        <f t="shared" si="14"/>
        <v/>
      </c>
      <c r="O81" s="12" t="str">
        <f t="shared" si="15"/>
        <v/>
      </c>
      <c r="P81" s="22" t="str">
        <f t="shared" si="16"/>
        <v/>
      </c>
      <c r="Q81" s="19"/>
      <c r="R81" s="19"/>
    </row>
    <row r="82" spans="1:18" ht="15" customHeight="1" x14ac:dyDescent="0.25">
      <c r="A82" s="32"/>
      <c r="B82" s="19"/>
      <c r="C82" s="19"/>
      <c r="D82" s="19"/>
      <c r="E82" s="20" t="str">
        <f>IF($B82="","",INDEX(Simulador!$D$7:$D$232,MATCH($B82,Simulador!$A$7:$A$232,0)))</f>
        <v/>
      </c>
      <c r="F82" s="20"/>
      <c r="G82" s="13" t="str">
        <f t="shared" si="12"/>
        <v/>
      </c>
      <c r="H82" s="8" t="str">
        <f>IF($B82="","",INDEX(Simulador!$B$7:$B$232,MATCH($B82,Simulador!$A$7:$A$232,0)))</f>
        <v/>
      </c>
      <c r="I82" s="13" t="str">
        <f>IF(OR(H82="",$D82=""),"",INDEX(Ref_Frete!$B$2:$G$54,MATCH($D82,Ref_Frete!$A$2:$A$54,0),IF(H82="Pequenos",2,IF(H82="Medios",4,6))))</f>
        <v/>
      </c>
      <c r="J82" s="20"/>
      <c r="K82" s="20" t="str">
        <f t="shared" si="17"/>
        <v/>
      </c>
      <c r="L82" s="13" t="str">
        <f>IF(OR($B82="",$C82=""),"",$C82*INDEX(Simulador!$F$7:$F$232,MATCH($B82,Simulador!$A$7:$A$232,0)))</f>
        <v/>
      </c>
      <c r="M82" s="13" t="str">
        <f t="shared" si="13"/>
        <v/>
      </c>
      <c r="N82" s="35" t="str">
        <f t="shared" si="14"/>
        <v/>
      </c>
      <c r="O82" s="12" t="str">
        <f t="shared" si="15"/>
        <v/>
      </c>
      <c r="P82" s="22" t="str">
        <f t="shared" si="16"/>
        <v/>
      </c>
      <c r="Q82" s="19"/>
      <c r="R82" s="19"/>
    </row>
    <row r="83" spans="1:18" ht="15" customHeight="1" x14ac:dyDescent="0.25">
      <c r="A83" s="32"/>
      <c r="B83" s="19"/>
      <c r="C83" s="19"/>
      <c r="D83" s="19"/>
      <c r="E83" s="20" t="str">
        <f>IF($B83="","",INDEX(Simulador!$D$7:$D$232,MATCH($B83,Simulador!$A$7:$A$232,0)))</f>
        <v/>
      </c>
      <c r="F83" s="20"/>
      <c r="G83" s="13" t="str">
        <f t="shared" si="12"/>
        <v/>
      </c>
      <c r="H83" s="8" t="str">
        <f>IF($B83="","",INDEX(Simulador!$B$7:$B$232,MATCH($B83,Simulador!$A$7:$A$232,0)))</f>
        <v/>
      </c>
      <c r="I83" s="13" t="str">
        <f>IF(OR(H83="",$D83=""),"",INDEX(Ref_Frete!$B$2:$G$54,MATCH($D83,Ref_Frete!$A$2:$A$54,0),IF(H83="Pequenos",2,IF(H83="Medios",4,6))))</f>
        <v/>
      </c>
      <c r="J83" s="20"/>
      <c r="K83" s="20" t="str">
        <f t="shared" si="17"/>
        <v/>
      </c>
      <c r="L83" s="13" t="str">
        <f>IF(OR($B83="",$C83=""),"",$C83*INDEX(Simulador!$F$7:$F$232,MATCH($B83,Simulador!$A$7:$A$232,0)))</f>
        <v/>
      </c>
      <c r="M83" s="13" t="str">
        <f t="shared" si="13"/>
        <v/>
      </c>
      <c r="N83" s="35" t="str">
        <f t="shared" si="14"/>
        <v/>
      </c>
      <c r="O83" s="12" t="str">
        <f t="shared" si="15"/>
        <v/>
      </c>
      <c r="P83" s="22" t="str">
        <f t="shared" si="16"/>
        <v/>
      </c>
      <c r="Q83" s="19"/>
      <c r="R83" s="19"/>
    </row>
    <row r="84" spans="1:18" ht="15" customHeight="1" x14ac:dyDescent="0.25">
      <c r="A84" s="32"/>
      <c r="B84" s="19"/>
      <c r="C84" s="19"/>
      <c r="D84" s="19"/>
      <c r="E84" s="20" t="str">
        <f>IF($B84="","",INDEX(Simulador!$D$7:$D$232,MATCH($B84,Simulador!$A$7:$A$232,0)))</f>
        <v/>
      </c>
      <c r="F84" s="20"/>
      <c r="G84" s="13" t="str">
        <f t="shared" si="12"/>
        <v/>
      </c>
      <c r="H84" s="8" t="str">
        <f>IF($B84="","",INDEX(Simulador!$B$7:$B$232,MATCH($B84,Simulador!$A$7:$A$232,0)))</f>
        <v/>
      </c>
      <c r="I84" s="13" t="str">
        <f>IF(OR(H84="",$D84=""),"",INDEX(Ref_Frete!$B$2:$G$54,MATCH($D84,Ref_Frete!$A$2:$A$54,0),IF(H84="Pequenos",2,IF(H84="Medios",4,6))))</f>
        <v/>
      </c>
      <c r="J84" s="20"/>
      <c r="K84" s="20" t="str">
        <f t="shared" si="17"/>
        <v/>
      </c>
      <c r="L84" s="13" t="str">
        <f>IF(OR($B84="",$C84=""),"",$C84*INDEX(Simulador!$F$7:$F$232,MATCH($B84,Simulador!$A$7:$A$232,0)))</f>
        <v/>
      </c>
      <c r="M84" s="13" t="str">
        <f t="shared" si="13"/>
        <v/>
      </c>
      <c r="N84" s="35" t="str">
        <f t="shared" si="14"/>
        <v/>
      </c>
      <c r="O84" s="12" t="str">
        <f t="shared" si="15"/>
        <v/>
      </c>
      <c r="P84" s="22" t="str">
        <f t="shared" si="16"/>
        <v/>
      </c>
      <c r="Q84" s="19"/>
      <c r="R84" s="19"/>
    </row>
    <row r="85" spans="1:18" ht="15" customHeight="1" x14ac:dyDescent="0.25">
      <c r="A85" s="32"/>
      <c r="B85" s="19"/>
      <c r="C85" s="19"/>
      <c r="D85" s="19"/>
      <c r="E85" s="20" t="str">
        <f>IF($B85="","",INDEX(Simulador!$D$7:$D$232,MATCH($B85,Simulador!$A$7:$A$232,0)))</f>
        <v/>
      </c>
      <c r="F85" s="20"/>
      <c r="G85" s="13" t="str">
        <f t="shared" si="12"/>
        <v/>
      </c>
      <c r="H85" s="8" t="str">
        <f>IF($B85="","",INDEX(Simulador!$B$7:$B$232,MATCH($B85,Simulador!$A$7:$A$232,0)))</f>
        <v/>
      </c>
      <c r="I85" s="13" t="str">
        <f>IF(OR(H85="",$D85=""),"",INDEX(Ref_Frete!$B$2:$G$54,MATCH($D85,Ref_Frete!$A$2:$A$54,0),IF(H85="Pequenos",2,IF(H85="Medios",4,6))))</f>
        <v/>
      </c>
      <c r="J85" s="20"/>
      <c r="K85" s="20" t="str">
        <f t="shared" si="17"/>
        <v/>
      </c>
      <c r="L85" s="13" t="str">
        <f>IF(OR($B85="",$C85=""),"",$C85*INDEX(Simulador!$F$7:$F$232,MATCH($B85,Simulador!$A$7:$A$232,0)))</f>
        <v/>
      </c>
      <c r="M85" s="13" t="str">
        <f t="shared" si="13"/>
        <v/>
      </c>
      <c r="N85" s="35" t="str">
        <f t="shared" si="14"/>
        <v/>
      </c>
      <c r="O85" s="12" t="str">
        <f t="shared" si="15"/>
        <v/>
      </c>
      <c r="P85" s="22" t="str">
        <f t="shared" si="16"/>
        <v/>
      </c>
      <c r="Q85" s="19"/>
      <c r="R85" s="19"/>
    </row>
    <row r="86" spans="1:18" ht="15" customHeight="1" x14ac:dyDescent="0.25">
      <c r="A86" s="32"/>
      <c r="B86" s="19"/>
      <c r="C86" s="19"/>
      <c r="D86" s="19"/>
      <c r="E86" s="20" t="str">
        <f>IF($B86="","",INDEX(Simulador!$D$7:$D$232,MATCH($B86,Simulador!$A$7:$A$232,0)))</f>
        <v/>
      </c>
      <c r="F86" s="20"/>
      <c r="G86" s="13" t="str">
        <f t="shared" si="12"/>
        <v/>
      </c>
      <c r="H86" s="8" t="str">
        <f>IF($B86="","",INDEX(Simulador!$B$7:$B$232,MATCH($B86,Simulador!$A$7:$A$232,0)))</f>
        <v/>
      </c>
      <c r="I86" s="13" t="str">
        <f>IF(OR(H86="",$D86=""),"",INDEX(Ref_Frete!$B$2:$G$54,MATCH($D86,Ref_Frete!$A$2:$A$54,0),IF(H86="Pequenos",2,IF(H86="Medios",4,6))))</f>
        <v/>
      </c>
      <c r="J86" s="20"/>
      <c r="K86" s="20" t="str">
        <f t="shared" si="17"/>
        <v/>
      </c>
      <c r="L86" s="13" t="str">
        <f>IF(OR($B86="",$C86=""),"",$C86*INDEX(Simulador!$F$7:$F$232,MATCH($B86,Simulador!$A$7:$A$232,0)))</f>
        <v/>
      </c>
      <c r="M86" s="13" t="str">
        <f t="shared" si="13"/>
        <v/>
      </c>
      <c r="N86" s="35" t="str">
        <f t="shared" si="14"/>
        <v/>
      </c>
      <c r="O86" s="12" t="str">
        <f t="shared" si="15"/>
        <v/>
      </c>
      <c r="P86" s="22" t="str">
        <f t="shared" si="16"/>
        <v/>
      </c>
      <c r="Q86" s="19"/>
      <c r="R86" s="19"/>
    </row>
    <row r="87" spans="1:18" ht="15" customHeight="1" x14ac:dyDescent="0.25">
      <c r="A87" s="32"/>
      <c r="B87" s="19"/>
      <c r="C87" s="19"/>
      <c r="D87" s="19"/>
      <c r="E87" s="20" t="str">
        <f>IF($B87="","",INDEX(Simulador!$D$7:$D$232,MATCH($B87,Simulador!$A$7:$A$232,0)))</f>
        <v/>
      </c>
      <c r="F87" s="20"/>
      <c r="G87" s="13" t="str">
        <f t="shared" si="12"/>
        <v/>
      </c>
      <c r="H87" s="8" t="str">
        <f>IF($B87="","",INDEX(Simulador!$B$7:$B$232,MATCH($B87,Simulador!$A$7:$A$232,0)))</f>
        <v/>
      </c>
      <c r="I87" s="13" t="str">
        <f>IF(OR(H87="",$D87=""),"",INDEX(Ref_Frete!$B$2:$G$54,MATCH($D87,Ref_Frete!$A$2:$A$54,0),IF(H87="Pequenos",2,IF(H87="Medios",4,6))))</f>
        <v/>
      </c>
      <c r="J87" s="20"/>
      <c r="K87" s="20" t="str">
        <f t="shared" si="17"/>
        <v/>
      </c>
      <c r="L87" s="13" t="str">
        <f>IF(OR($B87="",$C87=""),"",$C87*INDEX(Simulador!$F$7:$F$232,MATCH($B87,Simulador!$A$7:$A$232,0)))</f>
        <v/>
      </c>
      <c r="M87" s="13" t="str">
        <f t="shared" si="13"/>
        <v/>
      </c>
      <c r="N87" s="35" t="str">
        <f t="shared" si="14"/>
        <v/>
      </c>
      <c r="O87" s="12" t="str">
        <f t="shared" si="15"/>
        <v/>
      </c>
      <c r="P87" s="22" t="str">
        <f t="shared" si="16"/>
        <v/>
      </c>
      <c r="Q87" s="19"/>
      <c r="R87" s="19"/>
    </row>
    <row r="88" spans="1:18" ht="15" customHeight="1" x14ac:dyDescent="0.25">
      <c r="A88" s="32"/>
      <c r="B88" s="19"/>
      <c r="C88" s="19"/>
      <c r="D88" s="19"/>
      <c r="E88" s="20" t="str">
        <f>IF($B88="","",INDEX(Simulador!$D$7:$D$232,MATCH($B88,Simulador!$A$7:$A$232,0)))</f>
        <v/>
      </c>
      <c r="F88" s="20"/>
      <c r="G88" s="13" t="str">
        <f t="shared" si="12"/>
        <v/>
      </c>
      <c r="H88" s="8" t="str">
        <f>IF($B88="","",INDEX(Simulador!$B$7:$B$232,MATCH($B88,Simulador!$A$7:$A$232,0)))</f>
        <v/>
      </c>
      <c r="I88" s="13" t="str">
        <f>IF(OR(H88="",$D88=""),"",INDEX(Ref_Frete!$B$2:$G$54,MATCH($D88,Ref_Frete!$A$2:$A$54,0),IF(H88="Pequenos",2,IF(H88="Medios",4,6))))</f>
        <v/>
      </c>
      <c r="J88" s="20"/>
      <c r="K88" s="20" t="str">
        <f t="shared" si="17"/>
        <v/>
      </c>
      <c r="L88" s="13" t="str">
        <f>IF(OR($B88="",$C88=""),"",$C88*INDEX(Simulador!$F$7:$F$232,MATCH($B88,Simulador!$A$7:$A$232,0)))</f>
        <v/>
      </c>
      <c r="M88" s="13" t="str">
        <f t="shared" si="13"/>
        <v/>
      </c>
      <c r="N88" s="35" t="str">
        <f t="shared" si="14"/>
        <v/>
      </c>
      <c r="O88" s="12" t="str">
        <f t="shared" si="15"/>
        <v/>
      </c>
      <c r="P88" s="22" t="str">
        <f t="shared" si="16"/>
        <v/>
      </c>
      <c r="Q88" s="19"/>
      <c r="R88" s="19"/>
    </row>
    <row r="89" spans="1:18" ht="15" customHeight="1" x14ac:dyDescent="0.25">
      <c r="A89" s="32"/>
      <c r="B89" s="19"/>
      <c r="C89" s="19"/>
      <c r="D89" s="19"/>
      <c r="E89" s="20" t="str">
        <f>IF($B89="","",INDEX(Simulador!$D$7:$D$232,MATCH($B89,Simulador!$A$7:$A$232,0)))</f>
        <v/>
      </c>
      <c r="F89" s="20"/>
      <c r="G89" s="13" t="str">
        <f t="shared" si="12"/>
        <v/>
      </c>
      <c r="H89" s="8" t="str">
        <f>IF($B89="","",INDEX(Simulador!$B$7:$B$232,MATCH($B89,Simulador!$A$7:$A$232,0)))</f>
        <v/>
      </c>
      <c r="I89" s="13" t="str">
        <f>IF(OR(H89="",$D89=""),"",INDEX(Ref_Frete!$B$2:$G$54,MATCH($D89,Ref_Frete!$A$2:$A$54,0),IF(H89="Pequenos",2,IF(H89="Medios",4,6))))</f>
        <v/>
      </c>
      <c r="J89" s="20"/>
      <c r="K89" s="20" t="str">
        <f t="shared" si="17"/>
        <v/>
      </c>
      <c r="L89" s="13" t="str">
        <f>IF(OR($B89="",$C89=""),"",$C89*INDEX(Simulador!$F$7:$F$232,MATCH($B89,Simulador!$A$7:$A$232,0)))</f>
        <v/>
      </c>
      <c r="M89" s="13" t="str">
        <f t="shared" si="13"/>
        <v/>
      </c>
      <c r="N89" s="35" t="str">
        <f t="shared" si="14"/>
        <v/>
      </c>
      <c r="O89" s="12" t="str">
        <f t="shared" si="15"/>
        <v/>
      </c>
      <c r="P89" s="22" t="str">
        <f t="shared" si="16"/>
        <v/>
      </c>
      <c r="Q89" s="19"/>
      <c r="R89" s="19"/>
    </row>
    <row r="90" spans="1:18" ht="15" customHeight="1" x14ac:dyDescent="0.25">
      <c r="A90" s="32"/>
      <c r="B90" s="19"/>
      <c r="C90" s="19"/>
      <c r="D90" s="19"/>
      <c r="E90" s="20" t="str">
        <f>IF($B90="","",INDEX(Simulador!$D$7:$D$232,MATCH($B90,Simulador!$A$7:$A$232,0)))</f>
        <v/>
      </c>
      <c r="F90" s="20"/>
      <c r="G90" s="13" t="str">
        <f t="shared" si="12"/>
        <v/>
      </c>
      <c r="H90" s="8" t="str">
        <f>IF($B90="","",INDEX(Simulador!$B$7:$B$232,MATCH($B90,Simulador!$A$7:$A$232,0)))</f>
        <v/>
      </c>
      <c r="I90" s="13" t="str">
        <f>IF(OR(H90="",$D90=""),"",INDEX(Ref_Frete!$B$2:$G$54,MATCH($D90,Ref_Frete!$A$2:$A$54,0),IF(H90="Pequenos",2,IF(H90="Medios",4,6))))</f>
        <v/>
      </c>
      <c r="J90" s="20"/>
      <c r="K90" s="20" t="str">
        <f t="shared" si="17"/>
        <v/>
      </c>
      <c r="L90" s="13" t="str">
        <f>IF(OR($B90="",$C90=""),"",$C90*INDEX(Simulador!$F$7:$F$232,MATCH($B90,Simulador!$A$7:$A$232,0)))</f>
        <v/>
      </c>
      <c r="M90" s="13" t="str">
        <f t="shared" si="13"/>
        <v/>
      </c>
      <c r="N90" s="35" t="str">
        <f t="shared" si="14"/>
        <v/>
      </c>
      <c r="O90" s="12" t="str">
        <f t="shared" si="15"/>
        <v/>
      </c>
      <c r="P90" s="22" t="str">
        <f t="shared" si="16"/>
        <v/>
      </c>
      <c r="Q90" s="19"/>
      <c r="R90" s="19"/>
    </row>
    <row r="91" spans="1:18" ht="15" customHeight="1" x14ac:dyDescent="0.25">
      <c r="A91" s="32"/>
      <c r="B91" s="19"/>
      <c r="C91" s="19"/>
      <c r="D91" s="19"/>
      <c r="E91" s="20" t="str">
        <f>IF($B91="","",INDEX(Simulador!$D$7:$D$232,MATCH($B91,Simulador!$A$7:$A$232,0)))</f>
        <v/>
      </c>
      <c r="F91" s="20"/>
      <c r="G91" s="13" t="str">
        <f t="shared" si="12"/>
        <v/>
      </c>
      <c r="H91" s="8" t="str">
        <f>IF($B91="","",INDEX(Simulador!$B$7:$B$232,MATCH($B91,Simulador!$A$7:$A$232,0)))</f>
        <v/>
      </c>
      <c r="I91" s="13" t="str">
        <f>IF(OR(H91="",$D91=""),"",INDEX(Ref_Frete!$B$2:$G$54,MATCH($D91,Ref_Frete!$A$2:$A$54,0),IF(H91="Pequenos",2,IF(H91="Medios",4,6))))</f>
        <v/>
      </c>
      <c r="J91" s="20"/>
      <c r="K91" s="20" t="str">
        <f t="shared" si="17"/>
        <v/>
      </c>
      <c r="L91" s="13" t="str">
        <f>IF(OR($B91="",$C91=""),"",$C91*INDEX(Simulador!$F$7:$F$232,MATCH($B91,Simulador!$A$7:$A$232,0)))</f>
        <v/>
      </c>
      <c r="M91" s="13" t="str">
        <f t="shared" si="13"/>
        <v/>
      </c>
      <c r="N91" s="35" t="str">
        <f t="shared" si="14"/>
        <v/>
      </c>
      <c r="O91" s="12" t="str">
        <f t="shared" si="15"/>
        <v/>
      </c>
      <c r="P91" s="22" t="str">
        <f t="shared" si="16"/>
        <v/>
      </c>
      <c r="Q91" s="19"/>
      <c r="R91" s="19"/>
    </row>
    <row r="92" spans="1:18" ht="15" customHeight="1" x14ac:dyDescent="0.25">
      <c r="A92" s="32"/>
      <c r="B92" s="19"/>
      <c r="C92" s="19"/>
      <c r="D92" s="19"/>
      <c r="E92" s="20" t="str">
        <f>IF($B92="","",INDEX(Simulador!$D$7:$D$232,MATCH($B92,Simulador!$A$7:$A$232,0)))</f>
        <v/>
      </c>
      <c r="F92" s="20"/>
      <c r="G92" s="13" t="str">
        <f t="shared" si="12"/>
        <v/>
      </c>
      <c r="H92" s="8" t="str">
        <f>IF($B92="","",INDEX(Simulador!$B$7:$B$232,MATCH($B92,Simulador!$A$7:$A$232,0)))</f>
        <v/>
      </c>
      <c r="I92" s="13" t="str">
        <f>IF(OR(H92="",$D92=""),"",INDEX(Ref_Frete!$B$2:$G$54,MATCH($D92,Ref_Frete!$A$2:$A$54,0),IF(H92="Pequenos",2,IF(H92="Medios",4,6))))</f>
        <v/>
      </c>
      <c r="J92" s="20"/>
      <c r="K92" s="20" t="str">
        <f t="shared" si="17"/>
        <v/>
      </c>
      <c r="L92" s="13" t="str">
        <f>IF(OR($B92="",$C92=""),"",$C92*INDEX(Simulador!$F$7:$F$232,MATCH($B92,Simulador!$A$7:$A$232,0)))</f>
        <v/>
      </c>
      <c r="M92" s="13" t="str">
        <f t="shared" si="13"/>
        <v/>
      </c>
      <c r="N92" s="35" t="str">
        <f t="shared" si="14"/>
        <v/>
      </c>
      <c r="O92" s="12" t="str">
        <f t="shared" si="15"/>
        <v/>
      </c>
      <c r="P92" s="22" t="str">
        <f t="shared" si="16"/>
        <v/>
      </c>
      <c r="Q92" s="19"/>
      <c r="R92" s="19"/>
    </row>
    <row r="93" spans="1:18" ht="15" customHeight="1" x14ac:dyDescent="0.25">
      <c r="A93" s="32"/>
      <c r="B93" s="19"/>
      <c r="C93" s="19"/>
      <c r="D93" s="19"/>
      <c r="E93" s="20" t="str">
        <f>IF($B93="","",INDEX(Simulador!$D$7:$D$232,MATCH($B93,Simulador!$A$7:$A$232,0)))</f>
        <v/>
      </c>
      <c r="F93" s="20"/>
      <c r="G93" s="13" t="str">
        <f t="shared" si="12"/>
        <v/>
      </c>
      <c r="H93" s="8" t="str">
        <f>IF($B93="","",INDEX(Simulador!$B$7:$B$232,MATCH($B93,Simulador!$A$7:$A$232,0)))</f>
        <v/>
      </c>
      <c r="I93" s="13" t="str">
        <f>IF(OR(H93="",$D93=""),"",INDEX(Ref_Frete!$B$2:$G$54,MATCH($D93,Ref_Frete!$A$2:$A$54,0),IF(H93="Pequenos",2,IF(H93="Medios",4,6))))</f>
        <v/>
      </c>
      <c r="J93" s="20"/>
      <c r="K93" s="20" t="str">
        <f t="shared" si="17"/>
        <v/>
      </c>
      <c r="L93" s="13" t="str">
        <f>IF(OR($B93="",$C93=""),"",$C93*INDEX(Simulador!$F$7:$F$232,MATCH($B93,Simulador!$A$7:$A$232,0)))</f>
        <v/>
      </c>
      <c r="M93" s="13" t="str">
        <f t="shared" si="13"/>
        <v/>
      </c>
      <c r="N93" s="35" t="str">
        <f t="shared" si="14"/>
        <v/>
      </c>
      <c r="O93" s="12" t="str">
        <f t="shared" si="15"/>
        <v/>
      </c>
      <c r="P93" s="22" t="str">
        <f t="shared" si="16"/>
        <v/>
      </c>
      <c r="Q93" s="19"/>
      <c r="R93" s="19"/>
    </row>
    <row r="94" spans="1:18" ht="15" customHeight="1" x14ac:dyDescent="0.25">
      <c r="A94" s="32"/>
      <c r="B94" s="19"/>
      <c r="C94" s="19"/>
      <c r="D94" s="19"/>
      <c r="E94" s="20" t="str">
        <f>IF($B94="","",INDEX(Simulador!$D$7:$D$232,MATCH($B94,Simulador!$A$7:$A$232,0)))</f>
        <v/>
      </c>
      <c r="F94" s="20"/>
      <c r="G94" s="13" t="str">
        <f t="shared" si="12"/>
        <v/>
      </c>
      <c r="H94" s="8" t="str">
        <f>IF($B94="","",INDEX(Simulador!$B$7:$B$232,MATCH($B94,Simulador!$A$7:$A$232,0)))</f>
        <v/>
      </c>
      <c r="I94" s="13" t="str">
        <f>IF(OR(H94="",$D94=""),"",INDEX(Ref_Frete!$B$2:$G$54,MATCH($D94,Ref_Frete!$A$2:$A$54,0),IF(H94="Pequenos",2,IF(H94="Medios",4,6))))</f>
        <v/>
      </c>
      <c r="J94" s="20"/>
      <c r="K94" s="20" t="str">
        <f t="shared" si="17"/>
        <v/>
      </c>
      <c r="L94" s="13" t="str">
        <f>IF(OR($B94="",$C94=""),"",$C94*INDEX(Simulador!$F$7:$F$232,MATCH($B94,Simulador!$A$7:$A$232,0)))</f>
        <v/>
      </c>
      <c r="M94" s="13" t="str">
        <f t="shared" si="13"/>
        <v/>
      </c>
      <c r="N94" s="35" t="str">
        <f t="shared" si="14"/>
        <v/>
      </c>
      <c r="O94" s="12" t="str">
        <f t="shared" si="15"/>
        <v/>
      </c>
      <c r="P94" s="22" t="str">
        <f t="shared" si="16"/>
        <v/>
      </c>
      <c r="Q94" s="19"/>
      <c r="R94" s="19"/>
    </row>
    <row r="95" spans="1:18" ht="15" customHeight="1" x14ac:dyDescent="0.25">
      <c r="A95" s="32"/>
      <c r="B95" s="19"/>
      <c r="C95" s="19"/>
      <c r="D95" s="19"/>
      <c r="E95" s="20" t="str">
        <f>IF($B95="","",INDEX(Simulador!$D$7:$D$232,MATCH($B95,Simulador!$A$7:$A$232,0)))</f>
        <v/>
      </c>
      <c r="F95" s="20"/>
      <c r="G95" s="13" t="str">
        <f t="shared" si="12"/>
        <v/>
      </c>
      <c r="H95" s="8" t="str">
        <f>IF($B95="","",INDEX(Simulador!$B$7:$B$232,MATCH($B95,Simulador!$A$7:$A$232,0)))</f>
        <v/>
      </c>
      <c r="I95" s="13" t="str">
        <f>IF(OR(H95="",$D95=""),"",INDEX(Ref_Frete!$B$2:$G$54,MATCH($D95,Ref_Frete!$A$2:$A$54,0),IF(H95="Pequenos",2,IF(H95="Medios",4,6))))</f>
        <v/>
      </c>
      <c r="J95" s="20"/>
      <c r="K95" s="20" t="str">
        <f t="shared" si="17"/>
        <v/>
      </c>
      <c r="L95" s="13" t="str">
        <f>IF(OR($B95="",$C95=""),"",$C95*INDEX(Simulador!$F$7:$F$232,MATCH($B95,Simulador!$A$7:$A$232,0)))</f>
        <v/>
      </c>
      <c r="M95" s="13" t="str">
        <f t="shared" si="13"/>
        <v/>
      </c>
      <c r="N95" s="35" t="str">
        <f t="shared" si="14"/>
        <v/>
      </c>
      <c r="O95" s="12" t="str">
        <f t="shared" si="15"/>
        <v/>
      </c>
      <c r="P95" s="22" t="str">
        <f t="shared" si="16"/>
        <v/>
      </c>
      <c r="Q95" s="19"/>
      <c r="R95" s="19"/>
    </row>
    <row r="96" spans="1:18" ht="15" customHeight="1" x14ac:dyDescent="0.25">
      <c r="A96" s="32"/>
      <c r="B96" s="19"/>
      <c r="C96" s="19"/>
      <c r="D96" s="19"/>
      <c r="E96" s="20" t="str">
        <f>IF($B96="","",INDEX(Simulador!$D$7:$D$232,MATCH($B96,Simulador!$A$7:$A$232,0)))</f>
        <v/>
      </c>
      <c r="F96" s="20"/>
      <c r="G96" s="13" t="str">
        <f t="shared" si="12"/>
        <v/>
      </c>
      <c r="H96" s="8" t="str">
        <f>IF($B96="","",INDEX(Simulador!$B$7:$B$232,MATCH($B96,Simulador!$A$7:$A$232,0)))</f>
        <v/>
      </c>
      <c r="I96" s="13" t="str">
        <f>IF(OR(H96="",$D96=""),"",INDEX(Ref_Frete!$B$2:$G$54,MATCH($D96,Ref_Frete!$A$2:$A$54,0),IF(H96="Pequenos",2,IF(H96="Medios",4,6))))</f>
        <v/>
      </c>
      <c r="J96" s="20"/>
      <c r="K96" s="20" t="str">
        <f t="shared" si="17"/>
        <v/>
      </c>
      <c r="L96" s="13" t="str">
        <f>IF(OR($B96="",$C96=""),"",$C96*INDEX(Simulador!$F$7:$F$232,MATCH($B96,Simulador!$A$7:$A$232,0)))</f>
        <v/>
      </c>
      <c r="M96" s="13" t="str">
        <f t="shared" si="13"/>
        <v/>
      </c>
      <c r="N96" s="35" t="str">
        <f t="shared" si="14"/>
        <v/>
      </c>
      <c r="O96" s="12" t="str">
        <f t="shared" si="15"/>
        <v/>
      </c>
      <c r="P96" s="22" t="str">
        <f t="shared" si="16"/>
        <v/>
      </c>
      <c r="Q96" s="19"/>
      <c r="R96" s="19"/>
    </row>
    <row r="97" spans="1:18" ht="15" customHeight="1" x14ac:dyDescent="0.25">
      <c r="A97" s="32"/>
      <c r="B97" s="19"/>
      <c r="C97" s="19"/>
      <c r="D97" s="19"/>
      <c r="E97" s="20" t="str">
        <f>IF($B97="","",INDEX(Simulador!$D$7:$D$232,MATCH($B97,Simulador!$A$7:$A$232,0)))</f>
        <v/>
      </c>
      <c r="F97" s="20"/>
      <c r="G97" s="13" t="str">
        <f t="shared" si="12"/>
        <v/>
      </c>
      <c r="H97" s="8" t="str">
        <f>IF($B97="","",INDEX(Simulador!$B$7:$B$232,MATCH($B97,Simulador!$A$7:$A$232,0)))</f>
        <v/>
      </c>
      <c r="I97" s="13" t="str">
        <f>IF(OR(H97="",$D97=""),"",INDEX(Ref_Frete!$B$2:$G$54,MATCH($D97,Ref_Frete!$A$2:$A$54,0),IF(H97="Pequenos",2,IF(H97="Medios",4,6))))</f>
        <v/>
      </c>
      <c r="J97" s="20"/>
      <c r="K97" s="20" t="str">
        <f t="shared" si="17"/>
        <v/>
      </c>
      <c r="L97" s="13" t="str">
        <f>IF(OR($B97="",$C97=""),"",$C97*INDEX(Simulador!$F$7:$F$232,MATCH($B97,Simulador!$A$7:$A$232,0)))</f>
        <v/>
      </c>
      <c r="M97" s="13" t="str">
        <f t="shared" si="13"/>
        <v/>
      </c>
      <c r="N97" s="35" t="str">
        <f t="shared" si="14"/>
        <v/>
      </c>
      <c r="O97" s="12" t="str">
        <f t="shared" si="15"/>
        <v/>
      </c>
      <c r="P97" s="22" t="str">
        <f t="shared" si="16"/>
        <v/>
      </c>
      <c r="Q97" s="19"/>
      <c r="R97" s="19"/>
    </row>
    <row r="98" spans="1:18" ht="15" customHeight="1" x14ac:dyDescent="0.25">
      <c r="A98" s="32"/>
      <c r="B98" s="19"/>
      <c r="C98" s="19"/>
      <c r="D98" s="19"/>
      <c r="E98" s="20" t="str">
        <f>IF($B98="","",INDEX(Simulador!$D$7:$D$232,MATCH($B98,Simulador!$A$7:$A$232,0)))</f>
        <v/>
      </c>
      <c r="F98" s="20"/>
      <c r="G98" s="13" t="str">
        <f t="shared" si="12"/>
        <v/>
      </c>
      <c r="H98" s="8" t="str">
        <f>IF($B98="","",INDEX(Simulador!$B$7:$B$232,MATCH($B98,Simulador!$A$7:$A$232,0)))</f>
        <v/>
      </c>
      <c r="I98" s="13" t="str">
        <f>IF(OR(H98="",$D98=""),"",INDEX(Ref_Frete!$B$2:$G$54,MATCH($D98,Ref_Frete!$A$2:$A$54,0),IF(H98="Pequenos",2,IF(H98="Medios",4,6))))</f>
        <v/>
      </c>
      <c r="J98" s="20"/>
      <c r="K98" s="20" t="str">
        <f t="shared" si="17"/>
        <v/>
      </c>
      <c r="L98" s="13" t="str">
        <f>IF(OR($B98="",$C98=""),"",$C98*INDEX(Simulador!$F$7:$F$232,MATCH($B98,Simulador!$A$7:$A$232,0)))</f>
        <v/>
      </c>
      <c r="M98" s="13" t="str">
        <f t="shared" si="13"/>
        <v/>
      </c>
      <c r="N98" s="35" t="str">
        <f t="shared" si="14"/>
        <v/>
      </c>
      <c r="O98" s="12" t="str">
        <f t="shared" si="15"/>
        <v/>
      </c>
      <c r="P98" s="22" t="str">
        <f t="shared" si="16"/>
        <v/>
      </c>
      <c r="Q98" s="19"/>
      <c r="R98" s="19"/>
    </row>
    <row r="99" spans="1:18" ht="15" customHeight="1" x14ac:dyDescent="0.25">
      <c r="A99" s="32"/>
      <c r="B99" s="19"/>
      <c r="C99" s="19"/>
      <c r="D99" s="19"/>
      <c r="E99" s="20" t="str">
        <f>IF($B99="","",INDEX(Simulador!$D$7:$D$232,MATCH($B99,Simulador!$A$7:$A$232,0)))</f>
        <v/>
      </c>
      <c r="F99" s="20"/>
      <c r="G99" s="13" t="str">
        <f t="shared" si="12"/>
        <v/>
      </c>
      <c r="H99" s="8" t="str">
        <f>IF($B99="","",INDEX(Simulador!$B$7:$B$232,MATCH($B99,Simulador!$A$7:$A$232,0)))</f>
        <v/>
      </c>
      <c r="I99" s="13" t="str">
        <f>IF(OR(H99="",$D99=""),"",INDEX(Ref_Frete!$B$2:$G$54,MATCH($D99,Ref_Frete!$A$2:$A$54,0),IF(H99="Pequenos",2,IF(H99="Medios",4,6))))</f>
        <v/>
      </c>
      <c r="J99" s="20"/>
      <c r="K99" s="20" t="str">
        <f t="shared" si="17"/>
        <v/>
      </c>
      <c r="L99" s="13" t="str">
        <f>IF(OR($B99="",$C99=""),"",$C99*INDEX(Simulador!$F$7:$F$232,MATCH($B99,Simulador!$A$7:$A$232,0)))</f>
        <v/>
      </c>
      <c r="M99" s="13" t="str">
        <f t="shared" si="13"/>
        <v/>
      </c>
      <c r="N99" s="35" t="str">
        <f t="shared" si="14"/>
        <v/>
      </c>
      <c r="O99" s="12" t="str">
        <f t="shared" si="15"/>
        <v/>
      </c>
      <c r="P99" s="22" t="str">
        <f t="shared" si="16"/>
        <v/>
      </c>
      <c r="Q99" s="19"/>
      <c r="R99" s="19"/>
    </row>
    <row r="100" spans="1:18" ht="15" customHeight="1" x14ac:dyDescent="0.25">
      <c r="A100" s="32"/>
      <c r="B100" s="19"/>
      <c r="C100" s="19"/>
      <c r="D100" s="19"/>
      <c r="E100" s="20" t="str">
        <f>IF($B100="","",INDEX(Simulador!$D$7:$D$232,MATCH($B100,Simulador!$A$7:$A$232,0)))</f>
        <v/>
      </c>
      <c r="F100" s="20"/>
      <c r="G100" s="13" t="str">
        <f t="shared" si="12"/>
        <v/>
      </c>
      <c r="H100" s="8" t="str">
        <f>IF($B100="","",INDEX(Simulador!$B$7:$B$232,MATCH($B100,Simulador!$A$7:$A$232,0)))</f>
        <v/>
      </c>
      <c r="I100" s="13" t="str">
        <f>IF(OR(H100="",$D100=""),"",INDEX(Ref_Frete!$B$2:$G$54,MATCH($D100,Ref_Frete!$A$2:$A$54,0),IF(H100="Pequenos",2,IF(H100="Medios",4,6))))</f>
        <v/>
      </c>
      <c r="J100" s="20"/>
      <c r="K100" s="20" t="str">
        <f t="shared" si="17"/>
        <v/>
      </c>
      <c r="L100" s="13" t="str">
        <f>IF(OR($B100="",$C100=""),"",$C100*INDEX(Simulador!$F$7:$F$232,MATCH($B100,Simulador!$A$7:$A$232,0)))</f>
        <v/>
      </c>
      <c r="M100" s="13" t="str">
        <f t="shared" si="13"/>
        <v/>
      </c>
      <c r="N100" s="35" t="str">
        <f t="shared" si="14"/>
        <v/>
      </c>
      <c r="O100" s="12" t="str">
        <f t="shared" si="15"/>
        <v/>
      </c>
      <c r="P100" s="22" t="str">
        <f t="shared" si="16"/>
        <v/>
      </c>
      <c r="Q100" s="19"/>
      <c r="R100" s="19"/>
    </row>
    <row r="101" spans="1:18" ht="15" customHeight="1" x14ac:dyDescent="0.25">
      <c r="A101" s="32"/>
      <c r="B101" s="19"/>
      <c r="C101" s="19"/>
      <c r="D101" s="19"/>
      <c r="E101" s="20" t="str">
        <f>IF($B101="","",INDEX(Simulador!$D$7:$D$232,MATCH($B101,Simulador!$A$7:$A$232,0)))</f>
        <v/>
      </c>
      <c r="F101" s="20"/>
      <c r="G101" s="13" t="str">
        <f t="shared" si="12"/>
        <v/>
      </c>
      <c r="H101" s="8" t="str">
        <f>IF($B101="","",INDEX(Simulador!$B$7:$B$232,MATCH($B101,Simulador!$A$7:$A$232,0)))</f>
        <v/>
      </c>
      <c r="I101" s="13" t="str">
        <f>IF(OR(H101="",$D101=""),"",INDEX(Ref_Frete!$B$2:$G$54,MATCH($D101,Ref_Frete!$A$2:$A$54,0),IF(H101="Pequenos",2,IF(H101="Medios",4,6))))</f>
        <v/>
      </c>
      <c r="J101" s="20"/>
      <c r="K101" s="20" t="str">
        <f t="shared" si="17"/>
        <v/>
      </c>
      <c r="L101" s="13" t="str">
        <f>IF(OR($B101="",$C101=""),"",$C101*INDEX(Simulador!$F$7:$F$232,MATCH($B101,Simulador!$A$7:$A$232,0)))</f>
        <v/>
      </c>
      <c r="M101" s="13" t="str">
        <f t="shared" si="13"/>
        <v/>
      </c>
      <c r="N101" s="35" t="str">
        <f t="shared" si="14"/>
        <v/>
      </c>
      <c r="O101" s="12" t="str">
        <f t="shared" si="15"/>
        <v/>
      </c>
      <c r="P101" s="22" t="str">
        <f t="shared" si="16"/>
        <v/>
      </c>
      <c r="Q101" s="19"/>
      <c r="R101" s="19"/>
    </row>
    <row r="102" spans="1:18" ht="15" customHeight="1" x14ac:dyDescent="0.25">
      <c r="A102" s="32"/>
      <c r="B102" s="19"/>
      <c r="C102" s="19"/>
      <c r="D102" s="19"/>
      <c r="E102" s="20" t="str">
        <f>IF($B102="","",INDEX(Simulador!$D$7:$D$232,MATCH($B102,Simulador!$A$7:$A$232,0)))</f>
        <v/>
      </c>
      <c r="F102" s="20"/>
      <c r="G102" s="13" t="str">
        <f t="shared" ref="G102:G107" si="18">IF(OR($B102="",$C102=""),"",$C102*E102-IF(F102="",0,F102))</f>
        <v/>
      </c>
      <c r="H102" s="8" t="str">
        <f>IF($B102="","",INDEX(Simulador!$B$7:$B$232,MATCH($B102,Simulador!$A$7:$A$232,0)))</f>
        <v/>
      </c>
      <c r="I102" s="13" t="str">
        <f>IF(OR(H102="",$D102=""),"",INDEX(Ref_Frete!$B$2:$G$54,MATCH($D102,Ref_Frete!$A$2:$A$54,0),IF(H102="Pequenos",2,IF(H102="Medios",4,6))))</f>
        <v/>
      </c>
      <c r="J102" s="20"/>
      <c r="K102" s="20" t="str">
        <f t="shared" si="17"/>
        <v/>
      </c>
      <c r="L102" s="13" t="str">
        <f>IF(OR($B102="",$C102=""),"",$C102*INDEX(Simulador!$F$7:$F$232,MATCH($B102,Simulador!$A$7:$A$232,0)))</f>
        <v/>
      </c>
      <c r="M102" s="13" t="str">
        <f t="shared" ref="M102:M107" si="19">IF(G102="","",G102*$B$3)</f>
        <v/>
      </c>
      <c r="N102" s="35" t="str">
        <f t="shared" ref="N102:N107" si="20">IF(OR(G102="",J102=""),"",G102+IF(I102="",0,I102)-J102-K102-L102-M102)</f>
        <v/>
      </c>
      <c r="O102" s="12" t="str">
        <f t="shared" ref="O102:O107" si="21">IF(OR(N102="",G102=0,G102=""),"",N102/G102)</f>
        <v/>
      </c>
      <c r="P102" s="22" t="str">
        <f t="shared" ref="P102:P107" si="22">IF(O102="","",IF(O102&lt;0,"PREJUÍZO",IF(O102&lt;0.1,"CRÍTICO (&lt;10%)",IF(O102&lt;0.15,"ABAIXO DA META (10-15%)",IF(O102&lt;=0.2,"DENTRO DA META (15-20%)","ACIMA DA META (&gt;20%)")))))</f>
        <v/>
      </c>
      <c r="Q102" s="19"/>
      <c r="R102" s="19"/>
    </row>
    <row r="103" spans="1:18" ht="15" customHeight="1" x14ac:dyDescent="0.25">
      <c r="A103" s="32"/>
      <c r="B103" s="19"/>
      <c r="C103" s="19"/>
      <c r="D103" s="19"/>
      <c r="E103" s="20" t="str">
        <f>IF($B103="","",INDEX(Simulador!$D$7:$D$232,MATCH($B103,Simulador!$A$7:$A$232,0)))</f>
        <v/>
      </c>
      <c r="F103" s="20"/>
      <c r="G103" s="13" t="str">
        <f t="shared" si="18"/>
        <v/>
      </c>
      <c r="H103" s="8" t="str">
        <f>IF($B103="","",INDEX(Simulador!$B$7:$B$232,MATCH($B103,Simulador!$A$7:$A$232,0)))</f>
        <v/>
      </c>
      <c r="I103" s="13" t="str">
        <f>IF(OR(H103="",$D103=""),"",INDEX(Ref_Frete!$B$2:$G$54,MATCH($D103,Ref_Frete!$A$2:$A$54,0),IF(H103="Pequenos",2,IF(H103="Medios",4,6))))</f>
        <v/>
      </c>
      <c r="J103" s="20"/>
      <c r="K103" s="20" t="str">
        <f t="shared" si="17"/>
        <v/>
      </c>
      <c r="L103" s="13" t="str">
        <f>IF(OR($B103="",$C103=""),"",$C103*INDEX(Simulador!$F$7:$F$232,MATCH($B103,Simulador!$A$7:$A$232,0)))</f>
        <v/>
      </c>
      <c r="M103" s="13" t="str">
        <f t="shared" si="19"/>
        <v/>
      </c>
      <c r="N103" s="35" t="str">
        <f t="shared" si="20"/>
        <v/>
      </c>
      <c r="O103" s="12" t="str">
        <f t="shared" si="21"/>
        <v/>
      </c>
      <c r="P103" s="22" t="str">
        <f t="shared" si="22"/>
        <v/>
      </c>
      <c r="Q103" s="19"/>
      <c r="R103" s="19"/>
    </row>
    <row r="104" spans="1:18" ht="15" customHeight="1" x14ac:dyDescent="0.25">
      <c r="A104" s="32"/>
      <c r="B104" s="19"/>
      <c r="C104" s="19"/>
      <c r="D104" s="19"/>
      <c r="E104" s="20" t="str">
        <f>IF($B104="","",INDEX(Simulador!$D$7:$D$232,MATCH($B104,Simulador!$A$7:$A$232,0)))</f>
        <v/>
      </c>
      <c r="F104" s="20"/>
      <c r="G104" s="13" t="str">
        <f t="shared" si="18"/>
        <v/>
      </c>
      <c r="H104" s="8" t="str">
        <f>IF($B104="","",INDEX(Simulador!$B$7:$B$232,MATCH($B104,Simulador!$A$7:$A$232,0)))</f>
        <v/>
      </c>
      <c r="I104" s="13" t="str">
        <f>IF(OR(H104="",$D104=""),"",INDEX(Ref_Frete!$B$2:$G$54,MATCH($D104,Ref_Frete!$A$2:$A$54,0),IF(H104="Pequenos",2,IF(H104="Medios",4,6))))</f>
        <v/>
      </c>
      <c r="J104" s="20"/>
      <c r="K104" s="20" t="str">
        <f t="shared" si="17"/>
        <v/>
      </c>
      <c r="L104" s="13" t="str">
        <f>IF(OR($B104="",$C104=""),"",$C104*INDEX(Simulador!$F$7:$F$232,MATCH($B104,Simulador!$A$7:$A$232,0)))</f>
        <v/>
      </c>
      <c r="M104" s="13" t="str">
        <f t="shared" si="19"/>
        <v/>
      </c>
      <c r="N104" s="35" t="str">
        <f t="shared" si="20"/>
        <v/>
      </c>
      <c r="O104" s="12" t="str">
        <f t="shared" si="21"/>
        <v/>
      </c>
      <c r="P104" s="22" t="str">
        <f t="shared" si="22"/>
        <v/>
      </c>
      <c r="Q104" s="19"/>
      <c r="R104" s="19"/>
    </row>
    <row r="105" spans="1:18" ht="15" customHeight="1" x14ac:dyDescent="0.25">
      <c r="A105" s="32"/>
      <c r="B105" s="19"/>
      <c r="C105" s="19"/>
      <c r="D105" s="19"/>
      <c r="E105" s="20" t="str">
        <f>IF($B105="","",INDEX(Simulador!$D$7:$D$232,MATCH($B105,Simulador!$A$7:$A$232,0)))</f>
        <v/>
      </c>
      <c r="F105" s="20"/>
      <c r="G105" s="13" t="str">
        <f t="shared" si="18"/>
        <v/>
      </c>
      <c r="H105" s="8" t="str">
        <f>IF($B105="","",INDEX(Simulador!$B$7:$B$232,MATCH($B105,Simulador!$A$7:$A$232,0)))</f>
        <v/>
      </c>
      <c r="I105" s="13" t="str">
        <f>IF(OR(H105="",$D105=""),"",INDEX(Ref_Frete!$B$2:$G$54,MATCH($D105,Ref_Frete!$A$2:$A$54,0),IF(H105="Pequenos",2,IF(H105="Medios",4,6))))</f>
        <v/>
      </c>
      <c r="J105" s="20"/>
      <c r="K105" s="20" t="str">
        <f t="shared" si="17"/>
        <v/>
      </c>
      <c r="L105" s="13" t="str">
        <f>IF(OR($B105="",$C105=""),"",$C105*INDEX(Simulador!$F$7:$F$232,MATCH($B105,Simulador!$A$7:$A$232,0)))</f>
        <v/>
      </c>
      <c r="M105" s="13" t="str">
        <f t="shared" si="19"/>
        <v/>
      </c>
      <c r="N105" s="35" t="str">
        <f t="shared" si="20"/>
        <v/>
      </c>
      <c r="O105" s="12" t="str">
        <f t="shared" si="21"/>
        <v/>
      </c>
      <c r="P105" s="22" t="str">
        <f t="shared" si="22"/>
        <v/>
      </c>
      <c r="Q105" s="19"/>
      <c r="R105" s="19"/>
    </row>
    <row r="106" spans="1:18" ht="15" customHeight="1" x14ac:dyDescent="0.25">
      <c r="A106" s="32"/>
      <c r="B106" s="19"/>
      <c r="C106" s="19"/>
      <c r="D106" s="19"/>
      <c r="E106" s="20" t="str">
        <f>IF($B106="","",INDEX(Simulador!$D$7:$D$232,MATCH($B106,Simulador!$A$7:$A$232,0)))</f>
        <v/>
      </c>
      <c r="F106" s="20"/>
      <c r="G106" s="13" t="str">
        <f t="shared" si="18"/>
        <v/>
      </c>
      <c r="H106" s="8" t="str">
        <f>IF($B106="","",INDEX(Simulador!$B$7:$B$232,MATCH($B106,Simulador!$A$7:$A$232,0)))</f>
        <v/>
      </c>
      <c r="I106" s="13" t="str">
        <f>IF(OR(H106="",$D106=""),"",INDEX(Ref_Frete!$B$2:$G$54,MATCH($D106,Ref_Frete!$A$2:$A$54,0),IF(H106="Pequenos",2,IF(H106="Medios",4,6))))</f>
        <v/>
      </c>
      <c r="J106" s="20"/>
      <c r="K106" s="20" t="str">
        <f t="shared" si="17"/>
        <v/>
      </c>
      <c r="L106" s="13" t="str">
        <f>IF(OR($B106="",$C106=""),"",$C106*INDEX(Simulador!$F$7:$F$232,MATCH($B106,Simulador!$A$7:$A$232,0)))</f>
        <v/>
      </c>
      <c r="M106" s="13" t="str">
        <f t="shared" si="19"/>
        <v/>
      </c>
      <c r="N106" s="35" t="str">
        <f t="shared" si="20"/>
        <v/>
      </c>
      <c r="O106" s="12" t="str">
        <f t="shared" si="21"/>
        <v/>
      </c>
      <c r="P106" s="22" t="str">
        <f t="shared" si="22"/>
        <v/>
      </c>
      <c r="Q106" s="19"/>
      <c r="R106" s="19"/>
    </row>
    <row r="107" spans="1:18" ht="15" customHeight="1" x14ac:dyDescent="0.25">
      <c r="A107" s="32"/>
      <c r="B107" s="19"/>
      <c r="C107" s="19"/>
      <c r="D107" s="19"/>
      <c r="E107" s="20" t="str">
        <f>IF($B107="","",INDEX(Simulador!$D$7:$D$232,MATCH($B107,Simulador!$A$7:$A$232,0)))</f>
        <v/>
      </c>
      <c r="F107" s="20"/>
      <c r="G107" s="13" t="str">
        <f t="shared" si="18"/>
        <v/>
      </c>
      <c r="H107" s="8" t="str">
        <f>IF($B107="","",INDEX(Simulador!$B$7:$B$232,MATCH($B107,Simulador!$A$7:$A$232,0)))</f>
        <v/>
      </c>
      <c r="I107" s="13" t="str">
        <f>IF(OR(H107="",$D107=""),"",INDEX(Ref_Frete!$B$2:$G$54,MATCH($D107,Ref_Frete!$A$2:$A$54,0),IF(H107="Pequenos",2,IF(H107="Medios",4,6))))</f>
        <v/>
      </c>
      <c r="J107" s="20"/>
      <c r="K107" s="20" t="str">
        <f t="shared" si="17"/>
        <v/>
      </c>
      <c r="L107" s="13" t="str">
        <f>IF(OR($B107="",$C107=""),"",$C107*INDEX(Simulador!$F$7:$F$232,MATCH($B107,Simulador!$A$7:$A$232,0)))</f>
        <v/>
      </c>
      <c r="M107" s="13" t="str">
        <f t="shared" si="19"/>
        <v/>
      </c>
      <c r="N107" s="35" t="str">
        <f t="shared" si="20"/>
        <v/>
      </c>
      <c r="O107" s="12" t="str">
        <f t="shared" si="21"/>
        <v/>
      </c>
      <c r="P107" s="22" t="str">
        <f t="shared" si="22"/>
        <v/>
      </c>
      <c r="Q107" s="19"/>
      <c r="R107" s="19"/>
    </row>
    <row r="108" spans="1:18" ht="15" customHeight="1" x14ac:dyDescent="0.25">
      <c r="A108" s="3" t="s">
        <v>249</v>
      </c>
      <c r="G108" s="39">
        <f>SUM(G6:G107)</f>
        <v>29059.240000000013</v>
      </c>
      <c r="K108" s="39">
        <f>SUM(K6:K107)</f>
        <v>4433.4200000000019</v>
      </c>
      <c r="L108" s="39">
        <f>SUM(L6:L107)</f>
        <v>15252.43</v>
      </c>
      <c r="M108" s="39">
        <f>SUM(M6:M107)</f>
        <v>2905.924</v>
      </c>
      <c r="N108" s="39">
        <f>SUM(N6:N107)</f>
        <v>7395.0460000000003</v>
      </c>
      <c r="O108" s="40">
        <f>IF(G108=0,"",N108/G108)</f>
        <v>0.2544817414357704</v>
      </c>
    </row>
    <row r="117" spans="1:1" ht="15" customHeight="1" x14ac:dyDescent="0.25">
      <c r="A117" s="41"/>
    </row>
  </sheetData>
  <conditionalFormatting sqref="S6:S75">
    <cfRule type="cellIs" dxfId="1" priority="1" operator="equal">
      <formula>"DEVOLUÇÃO"</formula>
    </cfRule>
    <cfRule type="cellIs" dxfId="0" priority="2" operator="equal">
      <formula>"VÁLIDO"</formula>
    </cfRule>
  </conditionalFormatting>
  <dataValidations count="2">
    <dataValidation type="list" allowBlank="1" sqref="R6:R107">
      <formula1>"Ads,Orgânico,Conferir"</formula1>
      <formula2>0</formula2>
    </dataValidation>
    <dataValidation type="list" allowBlank="1" showInputMessage="1" showErrorMessage="1" sqref="S6:S1048576">
      <formula1>"VÁLIDO,DEVOLUÇÃO"</formula1>
    </dataValidation>
  </dataValidations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Listas!$A$2:$A$114</xm:f>
          </x14:formula1>
          <x14:formula2>
            <xm:f>0</xm:f>
          </x14:formula2>
          <xm:sqref>B6:B105</xm:sqref>
        </x14:dataValidation>
        <x14:dataValidation type="list" allowBlank="1">
          <x14:formula1>
            <xm:f>Ref_Frete!$A$2:$A$54</xm:f>
          </x14:formula1>
          <x14:formula2>
            <xm:f>0</xm:f>
          </x14:formula2>
          <xm:sqref>D6:D105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zoomScaleNormal="100" workbookViewId="0">
      <pane ySplit="4" topLeftCell="A5" activePane="bottomLeft" state="frozen"/>
      <selection pane="bottomLeft" activeCell="G7" sqref="G7"/>
    </sheetView>
  </sheetViews>
  <sheetFormatPr defaultColWidth="8.7109375" defaultRowHeight="15" x14ac:dyDescent="0.25"/>
  <cols>
    <col min="1" max="1" width="10" style="1" customWidth="1"/>
    <col min="2" max="2" width="12" style="1" customWidth="1"/>
    <col min="3" max="3" width="7" style="1" customWidth="1"/>
    <col min="4" max="4" width="38" style="1" customWidth="1"/>
    <col min="5" max="5" width="11" style="1" customWidth="1"/>
    <col min="6" max="6" width="48" style="1" customWidth="1"/>
  </cols>
  <sheetData>
    <row r="1" spans="1:6" ht="15.75" customHeight="1" x14ac:dyDescent="0.25">
      <c r="A1" s="2" t="s">
        <v>250</v>
      </c>
    </row>
    <row r="2" spans="1:6" ht="84.75" customHeight="1" x14ac:dyDescent="0.25">
      <c r="A2" s="5" t="s">
        <v>251</v>
      </c>
    </row>
    <row r="4" spans="1:6" ht="15" customHeight="1" x14ac:dyDescent="0.25">
      <c r="A4" s="42" t="s">
        <v>192</v>
      </c>
      <c r="B4" s="42" t="s">
        <v>252</v>
      </c>
      <c r="C4" s="42" t="s">
        <v>253</v>
      </c>
      <c r="D4" s="42" t="s">
        <v>254</v>
      </c>
      <c r="E4" s="42" t="s">
        <v>205</v>
      </c>
      <c r="F4" s="42" t="s">
        <v>255</v>
      </c>
    </row>
    <row r="5" spans="1:6" ht="15" customHeight="1" x14ac:dyDescent="0.25">
      <c r="A5" s="8" t="s">
        <v>256</v>
      </c>
      <c r="B5" s="13">
        <v>96.63</v>
      </c>
      <c r="C5" s="8">
        <v>1</v>
      </c>
      <c r="D5" s="8" t="s">
        <v>34</v>
      </c>
      <c r="E5" s="7" t="s">
        <v>207</v>
      </c>
      <c r="F5" s="8"/>
    </row>
    <row r="6" spans="1:6" ht="15" customHeight="1" x14ac:dyDescent="0.25">
      <c r="A6" s="8" t="s">
        <v>257</v>
      </c>
      <c r="B6" s="13">
        <v>335.68</v>
      </c>
      <c r="C6" s="8">
        <v>1</v>
      </c>
      <c r="D6" s="8" t="s">
        <v>134</v>
      </c>
      <c r="E6" s="9" t="s">
        <v>210</v>
      </c>
      <c r="F6" s="8" t="s">
        <v>258</v>
      </c>
    </row>
    <row r="7" spans="1:6" ht="15" customHeight="1" x14ac:dyDescent="0.25">
      <c r="A7" s="8" t="s">
        <v>259</v>
      </c>
      <c r="B7" s="13">
        <v>532.92999999999995</v>
      </c>
      <c r="C7" s="8">
        <v>1</v>
      </c>
      <c r="D7" s="8" t="s">
        <v>169</v>
      </c>
      <c r="E7" s="7" t="s">
        <v>207</v>
      </c>
      <c r="F7" s="8"/>
    </row>
    <row r="8" spans="1:6" ht="15" customHeight="1" x14ac:dyDescent="0.25">
      <c r="A8" s="8" t="s">
        <v>260</v>
      </c>
      <c r="B8" s="13">
        <v>616.17999999999995</v>
      </c>
      <c r="C8" s="8">
        <v>1</v>
      </c>
      <c r="D8" s="8" t="s">
        <v>57</v>
      </c>
      <c r="E8" s="9" t="s">
        <v>210</v>
      </c>
      <c r="F8" s="8" t="s">
        <v>261</v>
      </c>
    </row>
    <row r="9" spans="1:6" ht="15" customHeight="1" x14ac:dyDescent="0.25">
      <c r="A9" s="8" t="s">
        <v>262</v>
      </c>
      <c r="B9" s="13">
        <v>203.16</v>
      </c>
      <c r="C9" s="8">
        <v>1</v>
      </c>
      <c r="D9" s="8" t="s">
        <v>263</v>
      </c>
      <c r="E9" s="9" t="s">
        <v>210</v>
      </c>
      <c r="F9" s="8" t="s">
        <v>264</v>
      </c>
    </row>
    <row r="10" spans="1:6" ht="15" customHeight="1" x14ac:dyDescent="0.25">
      <c r="A10" s="8" t="s">
        <v>265</v>
      </c>
      <c r="B10" s="13">
        <v>248.75</v>
      </c>
      <c r="C10" s="8">
        <v>1</v>
      </c>
      <c r="D10" s="8" t="s">
        <v>161</v>
      </c>
      <c r="E10" s="9" t="s">
        <v>210</v>
      </c>
      <c r="F10" s="8" t="s">
        <v>266</v>
      </c>
    </row>
    <row r="11" spans="1:6" ht="15" customHeight="1" x14ac:dyDescent="0.25">
      <c r="A11" s="8" t="s">
        <v>267</v>
      </c>
      <c r="B11" s="13">
        <v>335.78</v>
      </c>
      <c r="C11" s="8">
        <v>2</v>
      </c>
      <c r="D11" s="8" t="s">
        <v>268</v>
      </c>
      <c r="E11" s="7" t="s">
        <v>207</v>
      </c>
      <c r="F11" s="8" t="s">
        <v>269</v>
      </c>
    </row>
    <row r="12" spans="1:6" ht="15" customHeight="1" x14ac:dyDescent="0.25">
      <c r="A12" s="8" t="s">
        <v>270</v>
      </c>
      <c r="B12" s="13">
        <v>942.98</v>
      </c>
      <c r="C12" s="8">
        <v>2</v>
      </c>
      <c r="D12" s="8" t="s">
        <v>271</v>
      </c>
      <c r="E12" s="9" t="s">
        <v>210</v>
      </c>
      <c r="F12" s="8" t="s">
        <v>272</v>
      </c>
    </row>
    <row r="13" spans="1:6" ht="15" customHeight="1" x14ac:dyDescent="0.25">
      <c r="A13" s="8" t="s">
        <v>273</v>
      </c>
      <c r="B13" s="13">
        <v>674.62</v>
      </c>
      <c r="C13" s="8">
        <v>1</v>
      </c>
      <c r="D13" s="8" t="s">
        <v>129</v>
      </c>
      <c r="E13" s="7" t="s">
        <v>207</v>
      </c>
      <c r="F13" s="8"/>
    </row>
    <row r="14" spans="1:6" ht="15" customHeight="1" x14ac:dyDescent="0.25">
      <c r="A14" s="8" t="s">
        <v>274</v>
      </c>
      <c r="B14" s="13">
        <v>371.43</v>
      </c>
      <c r="C14" s="8">
        <v>2</v>
      </c>
      <c r="D14" s="8" t="s">
        <v>275</v>
      </c>
      <c r="E14" s="9" t="s">
        <v>210</v>
      </c>
      <c r="F14" s="8" t="s">
        <v>276</v>
      </c>
    </row>
    <row r="15" spans="1:6" ht="15" customHeight="1" x14ac:dyDescent="0.25">
      <c r="A15" s="8" t="s">
        <v>277</v>
      </c>
      <c r="B15" s="13">
        <v>319.58</v>
      </c>
      <c r="C15" s="8">
        <v>1</v>
      </c>
      <c r="D15" s="8" t="s">
        <v>115</v>
      </c>
      <c r="E15" s="7" t="s">
        <v>207</v>
      </c>
      <c r="F15" s="8" t="s">
        <v>278</v>
      </c>
    </row>
    <row r="16" spans="1:6" ht="15" customHeight="1" x14ac:dyDescent="0.25">
      <c r="A16" s="8" t="s">
        <v>279</v>
      </c>
      <c r="B16" s="13">
        <v>203.54</v>
      </c>
      <c r="C16" s="8">
        <v>1</v>
      </c>
      <c r="D16" s="8" t="s">
        <v>125</v>
      </c>
      <c r="E16" s="7" t="s">
        <v>207</v>
      </c>
      <c r="F16" s="8" t="s">
        <v>280</v>
      </c>
    </row>
    <row r="17" spans="1:6" ht="15" customHeight="1" x14ac:dyDescent="0.25">
      <c r="A17" s="8" t="s">
        <v>281</v>
      </c>
      <c r="B17" s="13">
        <v>610.62</v>
      </c>
      <c r="C17" s="8">
        <v>3</v>
      </c>
      <c r="D17" s="8" t="s">
        <v>282</v>
      </c>
      <c r="E17" s="9" t="s">
        <v>210</v>
      </c>
      <c r="F17" s="8" t="s">
        <v>283</v>
      </c>
    </row>
    <row r="18" spans="1:6" ht="15" customHeight="1" x14ac:dyDescent="0.25">
      <c r="A18" s="8" t="s">
        <v>284</v>
      </c>
      <c r="B18" s="13">
        <v>583.66999999999996</v>
      </c>
      <c r="C18" s="8">
        <v>2</v>
      </c>
      <c r="D18" s="8" t="s">
        <v>285</v>
      </c>
      <c r="E18" s="9" t="s">
        <v>210</v>
      </c>
      <c r="F18" s="8" t="s">
        <v>286</v>
      </c>
    </row>
    <row r="19" spans="1:6" ht="15" customHeight="1" x14ac:dyDescent="0.25">
      <c r="A19" s="8" t="s">
        <v>287</v>
      </c>
      <c r="B19" s="13">
        <v>203.54</v>
      </c>
      <c r="C19" s="8">
        <v>1</v>
      </c>
      <c r="D19" s="8" t="s">
        <v>125</v>
      </c>
      <c r="E19" s="9" t="s">
        <v>210</v>
      </c>
      <c r="F19" s="8" t="s">
        <v>288</v>
      </c>
    </row>
    <row r="20" spans="1:6" ht="15" customHeight="1" x14ac:dyDescent="0.25">
      <c r="A20" s="8" t="s">
        <v>289</v>
      </c>
      <c r="B20" s="13">
        <v>167.89</v>
      </c>
      <c r="C20" s="8">
        <v>1</v>
      </c>
      <c r="D20" s="8" t="s">
        <v>126</v>
      </c>
      <c r="E20" s="9" t="s">
        <v>210</v>
      </c>
      <c r="F20" s="8" t="s">
        <v>290</v>
      </c>
    </row>
    <row r="21" spans="1:6" ht="15" customHeight="1" x14ac:dyDescent="0.25">
      <c r="A21" s="8" t="s">
        <v>291</v>
      </c>
      <c r="B21" s="13">
        <v>497.34</v>
      </c>
      <c r="C21" s="8">
        <v>4</v>
      </c>
      <c r="D21" s="8" t="s">
        <v>292</v>
      </c>
      <c r="E21" s="9" t="s">
        <v>210</v>
      </c>
      <c r="F21" s="8" t="s">
        <v>293</v>
      </c>
    </row>
    <row r="22" spans="1:6" ht="15" customHeight="1" x14ac:dyDescent="0.25">
      <c r="A22" s="8" t="s">
        <v>294</v>
      </c>
      <c r="B22" s="13">
        <v>153.72</v>
      </c>
      <c r="C22" s="8">
        <v>1</v>
      </c>
      <c r="D22" s="8" t="s">
        <v>295</v>
      </c>
      <c r="E22" s="7" t="s">
        <v>207</v>
      </c>
      <c r="F22" s="8" t="s">
        <v>296</v>
      </c>
    </row>
    <row r="23" spans="1:6" ht="15" customHeight="1" x14ac:dyDescent="0.25">
      <c r="A23" s="8" t="s">
        <v>297</v>
      </c>
      <c r="B23" s="13">
        <v>674.62</v>
      </c>
      <c r="C23" s="8">
        <v>1</v>
      </c>
      <c r="D23" s="8" t="s">
        <v>298</v>
      </c>
      <c r="E23" s="7" t="s">
        <v>207</v>
      </c>
      <c r="F23" s="8" t="s">
        <v>299</v>
      </c>
    </row>
    <row r="24" spans="1:6" ht="15" customHeight="1" x14ac:dyDescent="0.25">
      <c r="A24" s="8" t="s">
        <v>300</v>
      </c>
      <c r="B24" s="13">
        <v>396.06</v>
      </c>
      <c r="C24" s="8">
        <v>2</v>
      </c>
      <c r="D24" s="8" t="s">
        <v>301</v>
      </c>
      <c r="E24" s="9" t="s">
        <v>210</v>
      </c>
      <c r="F24" s="8" t="s">
        <v>302</v>
      </c>
    </row>
    <row r="25" spans="1:6" ht="15" customHeight="1" x14ac:dyDescent="0.25">
      <c r="A25" s="8" t="s">
        <v>303</v>
      </c>
      <c r="B25" s="13">
        <v>543.85</v>
      </c>
      <c r="C25" s="8">
        <v>1</v>
      </c>
      <c r="D25" s="8" t="s">
        <v>148</v>
      </c>
      <c r="E25" s="9" t="s">
        <v>210</v>
      </c>
      <c r="F25" s="8" t="s">
        <v>304</v>
      </c>
    </row>
    <row r="26" spans="1:6" ht="15" customHeight="1" x14ac:dyDescent="0.25">
      <c r="A26" s="8" t="s">
        <v>305</v>
      </c>
      <c r="B26" s="13">
        <v>503.67</v>
      </c>
      <c r="C26" s="8">
        <v>3</v>
      </c>
      <c r="D26" s="8" t="s">
        <v>306</v>
      </c>
      <c r="E26" s="9" t="s">
        <v>210</v>
      </c>
      <c r="F26" s="8" t="s">
        <v>307</v>
      </c>
    </row>
    <row r="27" spans="1:6" ht="15" customHeight="1" x14ac:dyDescent="0.25">
      <c r="A27" s="8" t="s">
        <v>308</v>
      </c>
      <c r="B27" s="13">
        <v>116</v>
      </c>
      <c r="C27" s="8">
        <v>1</v>
      </c>
      <c r="D27" s="8" t="s">
        <v>37</v>
      </c>
      <c r="E27" s="7" t="s">
        <v>207</v>
      </c>
      <c r="F27" s="8" t="s">
        <v>309</v>
      </c>
    </row>
    <row r="28" spans="1:6" ht="15" customHeight="1" x14ac:dyDescent="0.25">
      <c r="A28" s="8" t="s">
        <v>310</v>
      </c>
      <c r="B28" s="13">
        <v>398.7</v>
      </c>
      <c r="C28" s="8">
        <v>3</v>
      </c>
      <c r="D28" s="8" t="s">
        <v>311</v>
      </c>
      <c r="E28" s="9" t="s">
        <v>210</v>
      </c>
      <c r="F28" s="8" t="s">
        <v>312</v>
      </c>
    </row>
    <row r="29" spans="1:6" ht="15" customHeight="1" x14ac:dyDescent="0.25">
      <c r="A29" s="16" t="s">
        <v>313</v>
      </c>
      <c r="B29" s="43">
        <v>4212.68</v>
      </c>
      <c r="C29" s="16">
        <v>4</v>
      </c>
      <c r="D29" s="16" t="s">
        <v>314</v>
      </c>
      <c r="E29" s="44" t="s">
        <v>207</v>
      </c>
      <c r="F29" s="16" t="s">
        <v>315</v>
      </c>
    </row>
    <row r="30" spans="1:6" ht="15" customHeight="1" x14ac:dyDescent="0.25">
      <c r="A30" s="16" t="s">
        <v>316</v>
      </c>
      <c r="B30" s="43">
        <v>1022.84</v>
      </c>
      <c r="C30" s="16">
        <v>2</v>
      </c>
      <c r="D30" s="16" t="s">
        <v>317</v>
      </c>
      <c r="E30" s="44" t="s">
        <v>207</v>
      </c>
      <c r="F30" s="16"/>
    </row>
    <row r="31" spans="1:6" ht="15" customHeight="1" x14ac:dyDescent="0.25">
      <c r="A31" s="8" t="s">
        <v>316</v>
      </c>
      <c r="B31" s="13">
        <v>116</v>
      </c>
      <c r="C31" s="8">
        <v>1</v>
      </c>
      <c r="D31" s="8" t="s">
        <v>37</v>
      </c>
      <c r="E31" s="9" t="s">
        <v>207</v>
      </c>
      <c r="F31" s="16" t="s">
        <v>318</v>
      </c>
    </row>
    <row r="32" spans="1:6" ht="15" customHeight="1" x14ac:dyDescent="0.25">
      <c r="A32" s="8" t="s">
        <v>319</v>
      </c>
      <c r="B32" s="13">
        <v>870.51</v>
      </c>
      <c r="C32" s="8">
        <v>3</v>
      </c>
      <c r="D32" s="8" t="s">
        <v>320</v>
      </c>
      <c r="E32" s="9" t="s">
        <v>207</v>
      </c>
      <c r="F32" s="16" t="s">
        <v>321</v>
      </c>
    </row>
    <row r="33" spans="1:6" ht="15" customHeight="1" x14ac:dyDescent="0.25">
      <c r="A33" s="8" t="s">
        <v>319</v>
      </c>
      <c r="B33" s="13">
        <v>1070.17</v>
      </c>
      <c r="C33" s="8">
        <v>1</v>
      </c>
      <c r="D33" s="8" t="s">
        <v>61</v>
      </c>
      <c r="E33" s="9" t="s">
        <v>207</v>
      </c>
      <c r="F33" s="16" t="s">
        <v>322</v>
      </c>
    </row>
    <row r="34" spans="1:6" ht="15" customHeight="1" x14ac:dyDescent="0.25">
      <c r="A34" s="8" t="s">
        <v>323</v>
      </c>
      <c r="B34" s="13">
        <v>407.08</v>
      </c>
      <c r="C34" s="8">
        <v>2</v>
      </c>
      <c r="D34" s="8" t="s">
        <v>324</v>
      </c>
      <c r="E34" s="9" t="s">
        <v>207</v>
      </c>
      <c r="F34" s="16" t="s">
        <v>325</v>
      </c>
    </row>
    <row r="35" spans="1:6" ht="15" customHeight="1" x14ac:dyDescent="0.25">
      <c r="A35" s="8" t="s">
        <v>323</v>
      </c>
      <c r="B35" s="13">
        <v>132.9</v>
      </c>
      <c r="C35" s="8">
        <v>1</v>
      </c>
      <c r="D35" s="8" t="s">
        <v>106</v>
      </c>
      <c r="E35" s="9" t="s">
        <v>210</v>
      </c>
      <c r="F35" s="16" t="s">
        <v>209</v>
      </c>
    </row>
    <row r="36" spans="1:6" ht="15" customHeight="1" x14ac:dyDescent="0.25">
      <c r="A36" s="16" t="s">
        <v>326</v>
      </c>
      <c r="B36" s="43">
        <v>642.24</v>
      </c>
      <c r="C36" s="16">
        <v>1</v>
      </c>
      <c r="D36" s="16" t="s">
        <v>149</v>
      </c>
      <c r="E36" s="44" t="s">
        <v>207</v>
      </c>
      <c r="F36" s="16"/>
    </row>
    <row r="37" spans="1:6" ht="294" customHeight="1" x14ac:dyDescent="0.25">
      <c r="A37" s="16" t="s">
        <v>327</v>
      </c>
      <c r="B37" s="43">
        <v>119.22</v>
      </c>
      <c r="C37" s="16">
        <v>1</v>
      </c>
      <c r="D37" s="16" t="s">
        <v>46</v>
      </c>
      <c r="E37" s="44" t="s">
        <v>207</v>
      </c>
      <c r="F37" s="16"/>
    </row>
    <row r="38" spans="1:6" ht="15" customHeight="1" x14ac:dyDescent="0.25">
      <c r="A38" s="16" t="s">
        <v>328</v>
      </c>
      <c r="B38" s="43">
        <v>335.68</v>
      </c>
      <c r="C38" s="16">
        <v>1</v>
      </c>
      <c r="D38" s="16" t="s">
        <v>134</v>
      </c>
      <c r="E38" s="44" t="s">
        <v>210</v>
      </c>
      <c r="F38" s="16" t="s">
        <v>209</v>
      </c>
    </row>
    <row r="39" spans="1:6" ht="15" customHeight="1" x14ac:dyDescent="0.25">
      <c r="A39" s="16" t="s">
        <v>329</v>
      </c>
      <c r="B39" s="43">
        <v>1741.56</v>
      </c>
      <c r="C39" s="16">
        <v>3</v>
      </c>
      <c r="D39" s="16" t="s">
        <v>330</v>
      </c>
      <c r="E39" s="44" t="s">
        <v>210</v>
      </c>
      <c r="F39" s="16" t="s">
        <v>331</v>
      </c>
    </row>
    <row r="40" spans="1:6" ht="15" customHeight="1" x14ac:dyDescent="0.25">
      <c r="A40" s="16" t="s">
        <v>332</v>
      </c>
      <c r="B40" s="43">
        <v>203.54</v>
      </c>
      <c r="C40" s="16">
        <v>1</v>
      </c>
      <c r="D40" s="16" t="s">
        <v>125</v>
      </c>
      <c r="E40" s="44" t="s">
        <v>210</v>
      </c>
      <c r="F40" s="16" t="s">
        <v>333</v>
      </c>
    </row>
    <row r="41" spans="1:6" ht="15" customHeight="1" x14ac:dyDescent="0.25">
      <c r="A41" s="16" t="s">
        <v>334</v>
      </c>
      <c r="B41" s="43">
        <v>167.89</v>
      </c>
      <c r="C41" s="16">
        <v>1</v>
      </c>
      <c r="D41" s="16" t="s">
        <v>126</v>
      </c>
      <c r="E41" s="44" t="s">
        <v>207</v>
      </c>
      <c r="F41" s="16"/>
    </row>
    <row r="42" spans="1:6" ht="15" customHeight="1" x14ac:dyDescent="0.25">
      <c r="A42" s="16" t="s">
        <v>335</v>
      </c>
      <c r="B42" s="43">
        <v>132.9</v>
      </c>
      <c r="C42" s="16">
        <v>1</v>
      </c>
      <c r="D42" s="16" t="s">
        <v>106</v>
      </c>
      <c r="E42" s="44" t="s">
        <v>210</v>
      </c>
      <c r="F42" s="16" t="s">
        <v>209</v>
      </c>
    </row>
    <row r="43" spans="1:6" ht="15" customHeight="1" x14ac:dyDescent="0.25">
      <c r="A43" s="16" t="s">
        <v>336</v>
      </c>
      <c r="B43" s="43">
        <v>265.8</v>
      </c>
      <c r="C43" s="16">
        <v>2</v>
      </c>
      <c r="D43" s="16" t="s">
        <v>337</v>
      </c>
      <c r="E43" s="44" t="s">
        <v>210</v>
      </c>
      <c r="F43" s="16" t="s">
        <v>338</v>
      </c>
    </row>
    <row r="44" spans="1:6" ht="15" customHeight="1" x14ac:dyDescent="0.25">
      <c r="A44" s="16" t="s">
        <v>336</v>
      </c>
      <c r="B44" s="43">
        <v>779.7</v>
      </c>
      <c r="C44" s="16">
        <v>3</v>
      </c>
      <c r="D44" s="16" t="s">
        <v>339</v>
      </c>
      <c r="E44" s="44" t="s">
        <v>207</v>
      </c>
      <c r="F44" s="16" t="s">
        <v>340</v>
      </c>
    </row>
    <row r="45" spans="1:6" ht="15" customHeight="1" x14ac:dyDescent="0.25">
      <c r="A45" s="16" t="s">
        <v>336</v>
      </c>
      <c r="B45" s="43">
        <v>132.9</v>
      </c>
      <c r="C45" s="16">
        <v>1</v>
      </c>
      <c r="D45" s="16" t="s">
        <v>106</v>
      </c>
      <c r="E45" s="44" t="s">
        <v>210</v>
      </c>
      <c r="F45" s="16" t="s">
        <v>209</v>
      </c>
    </row>
    <row r="47" spans="1:6" ht="15" customHeight="1" x14ac:dyDescent="0.25">
      <c r="A47" s="3" t="s">
        <v>341</v>
      </c>
    </row>
    <row r="48" spans="1:6" ht="15" customHeight="1" x14ac:dyDescent="0.25">
      <c r="A48" s="45" t="s">
        <v>342</v>
      </c>
      <c r="B48" s="45" t="s">
        <v>343</v>
      </c>
      <c r="C48" s="45" t="s">
        <v>344</v>
      </c>
      <c r="D48" s="45" t="s">
        <v>345</v>
      </c>
      <c r="E48" s="45" t="s">
        <v>346</v>
      </c>
    </row>
    <row r="49" spans="1:5" ht="15" customHeight="1" x14ac:dyDescent="0.25">
      <c r="A49" s="16" t="s">
        <v>347</v>
      </c>
      <c r="B49" s="43">
        <v>3312.09</v>
      </c>
      <c r="C49" s="43">
        <v>2346.75</v>
      </c>
      <c r="D49" s="43">
        <v>965.34</v>
      </c>
      <c r="E49" s="46">
        <v>0.29145947121002103</v>
      </c>
    </row>
    <row r="50" spans="1:5" ht="15" customHeight="1" x14ac:dyDescent="0.25">
      <c r="A50" s="16" t="s">
        <v>348</v>
      </c>
      <c r="B50" s="43">
        <v>4856.63</v>
      </c>
      <c r="C50" s="43">
        <v>2830.55</v>
      </c>
      <c r="D50" s="43">
        <v>2026.08</v>
      </c>
      <c r="E50" s="46">
        <v>0.41717816675349001</v>
      </c>
    </row>
    <row r="51" spans="1:5" ht="15" customHeight="1" x14ac:dyDescent="0.25">
      <c r="A51" s="16" t="s">
        <v>349</v>
      </c>
      <c r="B51" s="43">
        <v>13915.83</v>
      </c>
      <c r="C51" s="43">
        <v>4391.5</v>
      </c>
      <c r="D51" s="43">
        <v>9524.33</v>
      </c>
      <c r="E51" s="46">
        <v>0.68442414142742503</v>
      </c>
    </row>
    <row r="52" spans="1:5" ht="15" customHeight="1" x14ac:dyDescent="0.25">
      <c r="A52" s="3" t="s">
        <v>350</v>
      </c>
      <c r="B52" s="47">
        <v>22084.55</v>
      </c>
      <c r="C52" s="47">
        <v>9568.7999999999993</v>
      </c>
      <c r="D52" s="47">
        <v>12515.75</v>
      </c>
      <c r="E52" s="46">
        <v>0.56671972034748297</v>
      </c>
    </row>
    <row r="54" spans="1:5" ht="409.6" customHeight="1" x14ac:dyDescent="0.25">
      <c r="A54" s="48" t="s">
        <v>351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zoomScaleNormal="100" workbookViewId="0">
      <pane ySplit="5" topLeftCell="A6" activePane="bottomLeft" state="frozen"/>
      <selection pane="bottomLeft" activeCell="H11" sqref="H11"/>
    </sheetView>
  </sheetViews>
  <sheetFormatPr defaultColWidth="8.7109375" defaultRowHeight="15" x14ac:dyDescent="0.25"/>
  <cols>
    <col min="1" max="1" width="24" style="1" customWidth="1"/>
    <col min="2" max="2" width="10" style="1" customWidth="1"/>
    <col min="3" max="4" width="8" style="1" customWidth="1"/>
    <col min="5" max="5" width="9" style="1" customWidth="1"/>
    <col min="6" max="6" width="10" style="1" customWidth="1"/>
    <col min="7" max="7" width="12" style="1" customWidth="1"/>
    <col min="8" max="8" width="11" style="1" customWidth="1"/>
    <col min="9" max="9" width="20" style="1" customWidth="1"/>
    <col min="10" max="10" width="12" style="1" customWidth="1"/>
    <col min="11" max="11" width="10" style="1" customWidth="1"/>
    <col min="12" max="12" width="11" style="1" customWidth="1"/>
    <col min="13" max="13" width="10" style="1" customWidth="1"/>
    <col min="14" max="14" width="13" style="1" customWidth="1"/>
    <col min="15" max="15" width="2" style="1" customWidth="1"/>
    <col min="16" max="16" width="12" style="1" customWidth="1"/>
    <col min="17" max="17" width="13" style="1" customWidth="1"/>
    <col min="18" max="18" width="22" style="1" customWidth="1"/>
  </cols>
  <sheetData>
    <row r="1" spans="1:18" ht="16.5" customHeight="1" x14ac:dyDescent="0.25">
      <c r="A1" s="2" t="s">
        <v>352</v>
      </c>
    </row>
    <row r="2" spans="1:18" ht="15" customHeight="1" x14ac:dyDescent="0.25">
      <c r="A2" s="5" t="s">
        <v>353</v>
      </c>
    </row>
    <row r="3" spans="1:18" ht="15" customHeight="1" x14ac:dyDescent="0.25">
      <c r="A3" s="3" t="s">
        <v>190</v>
      </c>
      <c r="B3" s="17">
        <v>0.1</v>
      </c>
      <c r="C3" s="3" t="s">
        <v>354</v>
      </c>
      <c r="E3" s="17">
        <v>0.13500000000000001</v>
      </c>
      <c r="F3" s="5" t="s">
        <v>355</v>
      </c>
    </row>
    <row r="4" spans="1:18" ht="15" customHeight="1" x14ac:dyDescent="0.25">
      <c r="A4" s="5" t="s">
        <v>356</v>
      </c>
    </row>
    <row r="5" spans="1:18" ht="38.25" customHeight="1" x14ac:dyDescent="0.25">
      <c r="A5" s="18" t="s">
        <v>357</v>
      </c>
      <c r="B5" s="18" t="s">
        <v>358</v>
      </c>
      <c r="C5" s="18" t="s">
        <v>359</v>
      </c>
      <c r="D5" s="18" t="s">
        <v>360</v>
      </c>
      <c r="E5" s="18" t="s">
        <v>361</v>
      </c>
      <c r="F5" s="18" t="s">
        <v>362</v>
      </c>
      <c r="G5" s="18" t="s">
        <v>363</v>
      </c>
      <c r="H5" s="18" t="s">
        <v>364</v>
      </c>
      <c r="I5" s="18" t="s">
        <v>365</v>
      </c>
      <c r="J5" s="18" t="s">
        <v>85</v>
      </c>
      <c r="K5" s="18" t="s">
        <v>366</v>
      </c>
      <c r="L5" s="18" t="s">
        <v>89</v>
      </c>
      <c r="M5" s="18" t="s">
        <v>90</v>
      </c>
      <c r="N5" s="18" t="s">
        <v>367</v>
      </c>
      <c r="O5" s="18"/>
      <c r="P5" s="18" t="s">
        <v>368</v>
      </c>
      <c r="Q5" s="18" t="s">
        <v>369</v>
      </c>
      <c r="R5" s="18" t="s">
        <v>18</v>
      </c>
    </row>
    <row r="6" spans="1:18" ht="15" customHeight="1" x14ac:dyDescent="0.25">
      <c r="A6" s="33" t="s">
        <v>370</v>
      </c>
      <c r="B6" s="33">
        <v>45</v>
      </c>
      <c r="C6" s="33">
        <v>26</v>
      </c>
      <c r="D6" s="33">
        <v>26</v>
      </c>
      <c r="E6" s="33">
        <v>3</v>
      </c>
      <c r="F6" s="49">
        <f>IF(OR(B6="",C6="",D6=""),"",ROUND(B6*C6*D6/6000,2))</f>
        <v>5.07</v>
      </c>
      <c r="G6" s="49">
        <f>IF(F6="","",MAX(F6,IF(E6="",0,E6)))</f>
        <v>5.07</v>
      </c>
      <c r="H6" s="8" t="str">
        <f t="shared" ref="H6:H25" si="0">IF(G6="","",IF(G6&lt;=5.5,"Pequenos",IF(G6&lt;=18,"Medios","Grandes")))</f>
        <v>Pequenos</v>
      </c>
      <c r="I6" s="33" t="s">
        <v>98</v>
      </c>
      <c r="J6" s="34">
        <v>80</v>
      </c>
      <c r="K6" s="50">
        <v>0.17499999999999999</v>
      </c>
      <c r="L6" s="13">
        <f>IF(OR(H6="",I6=""),"",INDEX(Ref_Frete!$B$2:$G$54,MATCH(I6,Ref_Frete!$A$2:$A$54,0),IF(H6="Pequenos",2,IF(H6="Medios",4,6))))</f>
        <v>16.899999999999999</v>
      </c>
      <c r="M6" s="13">
        <f>IF(OR(H6="",I6=""),"",INDEX(Ref_Frete!$B$2:$G$54,MATCH(I6,Ref_Frete!$A$2:$A$54,0),IF(H6="Pequenos",1,IF(H6="Medios",3,5))))</f>
        <v>30</v>
      </c>
      <c r="N6" s="35">
        <f>IF(OR(J6="",K6="",L6="",M6=""),"",ROUND((J6+M6-L6*(1-$E$3))/(1-$E$3-$B$3-K6),2))</f>
        <v>161.66</v>
      </c>
      <c r="O6" s="51"/>
      <c r="P6" s="34">
        <v>220</v>
      </c>
      <c r="Q6" s="12">
        <f>IF(OR(P6="",J6="",L6="",M6=""),"",(P6-$E$3*(P6+L6)-J6-$B$3*P6+L6-M6)/P6)</f>
        <v>0.33144772727272725</v>
      </c>
      <c r="R6" s="22" t="str">
        <f>IF(Q6="","",IF(Q6&lt;0,"PREJUÍZO",IF(Q6&lt;0.1,"CRÍTICO (&lt;10%)",IF(Q6&lt;0.15,"ABAIXO DA META (10-15%)",IF(Q6&lt;=0.2,"DENTRO DA META (15-20%)","ACIMA DA META (&gt;20%)")))))</f>
        <v>ACIMA DA META (&gt;20%)</v>
      </c>
    </row>
    <row r="7" spans="1:18" ht="15" customHeight="1" x14ac:dyDescent="0.25">
      <c r="B7" s="19"/>
      <c r="C7" s="19"/>
      <c r="D7" s="19"/>
      <c r="E7" s="19"/>
      <c r="F7" s="49"/>
      <c r="G7" s="49"/>
      <c r="H7" s="8" t="str">
        <f t="shared" si="0"/>
        <v/>
      </c>
      <c r="I7" s="33"/>
      <c r="J7" s="20"/>
      <c r="K7" s="21"/>
      <c r="L7" s="13"/>
      <c r="M7" s="13"/>
      <c r="N7" s="35"/>
      <c r="O7" s="51"/>
      <c r="P7" s="20"/>
      <c r="Q7" s="12"/>
      <c r="R7" s="22"/>
    </row>
    <row r="8" spans="1:18" ht="15" customHeight="1" x14ac:dyDescent="0.25">
      <c r="B8" s="19"/>
      <c r="C8" s="19"/>
      <c r="D8" s="19"/>
      <c r="E8" s="19"/>
      <c r="F8" s="49"/>
      <c r="G8" s="49"/>
      <c r="H8" s="8" t="str">
        <f t="shared" si="0"/>
        <v/>
      </c>
      <c r="I8" s="33"/>
      <c r="J8" s="20"/>
      <c r="K8" s="21"/>
      <c r="L8" s="13"/>
      <c r="M8" s="13"/>
      <c r="N8" s="35"/>
      <c r="O8" s="51"/>
      <c r="P8" s="20"/>
      <c r="Q8" s="12"/>
      <c r="R8" s="22"/>
    </row>
    <row r="9" spans="1:18" ht="15" customHeight="1" x14ac:dyDescent="0.25">
      <c r="B9" s="19"/>
      <c r="C9" s="19"/>
      <c r="D9" s="19"/>
      <c r="E9" s="19"/>
      <c r="F9" s="49"/>
      <c r="G9" s="49"/>
      <c r="H9" s="8" t="str">
        <f t="shared" si="0"/>
        <v/>
      </c>
      <c r="I9" s="33"/>
      <c r="J9" s="20"/>
      <c r="K9" s="21"/>
      <c r="L9" s="13"/>
      <c r="M9" s="13"/>
      <c r="N9" s="35"/>
      <c r="O9" s="51"/>
      <c r="P9" s="35"/>
      <c r="Q9" s="12"/>
      <c r="R9" s="22"/>
    </row>
    <row r="10" spans="1:18" ht="15" customHeight="1" x14ac:dyDescent="0.25">
      <c r="B10" s="19"/>
      <c r="C10" s="19"/>
      <c r="D10" s="19"/>
      <c r="E10" s="19"/>
      <c r="F10" s="49"/>
      <c r="G10" s="49"/>
      <c r="H10" s="8" t="str">
        <f t="shared" si="0"/>
        <v/>
      </c>
      <c r="I10" s="33"/>
      <c r="J10" s="20"/>
      <c r="K10" s="21"/>
      <c r="L10" s="13"/>
      <c r="M10" s="13"/>
      <c r="N10" s="35"/>
      <c r="O10" s="51"/>
      <c r="P10" s="20"/>
      <c r="Q10" s="12"/>
      <c r="R10" s="22"/>
    </row>
    <row r="11" spans="1:18" ht="15" customHeight="1" x14ac:dyDescent="0.25">
      <c r="B11" s="19"/>
      <c r="C11" s="19"/>
      <c r="D11" s="19"/>
      <c r="E11" s="19"/>
      <c r="F11" s="49"/>
      <c r="G11" s="49"/>
      <c r="H11" s="8" t="str">
        <f t="shared" si="0"/>
        <v/>
      </c>
      <c r="I11" s="33"/>
      <c r="J11" s="20"/>
      <c r="K11" s="21"/>
      <c r="L11" s="13"/>
      <c r="M11" s="13"/>
      <c r="N11" s="35"/>
      <c r="O11" s="51"/>
      <c r="P11" s="20"/>
      <c r="Q11" s="12"/>
      <c r="R11" s="22"/>
    </row>
    <row r="12" spans="1:18" ht="15" customHeight="1" x14ac:dyDescent="0.25">
      <c r="B12" s="19"/>
      <c r="C12" s="19"/>
      <c r="D12" s="19"/>
      <c r="E12" s="19"/>
      <c r="F12" s="49"/>
      <c r="G12" s="49"/>
      <c r="H12" s="8" t="str">
        <f t="shared" si="0"/>
        <v/>
      </c>
      <c r="I12" s="33"/>
      <c r="J12" s="20"/>
      <c r="K12" s="21"/>
      <c r="L12" s="13"/>
      <c r="M12" s="13"/>
      <c r="N12" s="35"/>
      <c r="O12" s="51"/>
      <c r="P12" s="20"/>
      <c r="Q12" s="12"/>
      <c r="R12" s="22"/>
    </row>
    <row r="13" spans="1:18" ht="15" customHeight="1" x14ac:dyDescent="0.25">
      <c r="B13" s="19"/>
      <c r="C13" s="19"/>
      <c r="D13" s="19"/>
      <c r="E13" s="19"/>
      <c r="F13" s="49"/>
      <c r="G13" s="49"/>
      <c r="H13" s="8" t="str">
        <f t="shared" si="0"/>
        <v/>
      </c>
      <c r="I13" s="33"/>
      <c r="J13" s="20"/>
      <c r="K13" s="21"/>
      <c r="L13" s="13"/>
      <c r="M13" s="13"/>
      <c r="N13" s="35"/>
      <c r="O13" s="51"/>
      <c r="P13" s="20"/>
      <c r="Q13" s="12"/>
      <c r="R13" s="22"/>
    </row>
    <row r="14" spans="1:18" ht="15" customHeight="1" x14ac:dyDescent="0.25">
      <c r="B14" s="19"/>
      <c r="C14" s="19"/>
      <c r="D14" s="19"/>
      <c r="E14" s="19"/>
      <c r="F14" s="49"/>
      <c r="G14" s="49"/>
      <c r="H14" s="8" t="str">
        <f t="shared" si="0"/>
        <v/>
      </c>
      <c r="I14" s="33"/>
      <c r="J14" s="20"/>
      <c r="K14" s="21"/>
      <c r="L14" s="13"/>
      <c r="M14" s="13"/>
      <c r="N14" s="35"/>
      <c r="O14" s="51"/>
      <c r="P14" s="20"/>
      <c r="Q14" s="12"/>
      <c r="R14" s="22"/>
    </row>
    <row r="15" spans="1:18" ht="15" customHeight="1" x14ac:dyDescent="0.25">
      <c r="B15" s="19"/>
      <c r="C15" s="19"/>
      <c r="D15" s="19"/>
      <c r="E15" s="19"/>
      <c r="F15" s="49"/>
      <c r="G15" s="49"/>
      <c r="H15" s="8" t="str">
        <f t="shared" si="0"/>
        <v/>
      </c>
      <c r="I15" s="33"/>
      <c r="J15" s="20"/>
      <c r="K15" s="21"/>
      <c r="L15" s="13"/>
      <c r="M15" s="13"/>
      <c r="N15" s="35"/>
      <c r="O15" s="51"/>
      <c r="P15" s="20"/>
      <c r="Q15" s="12"/>
      <c r="R15" s="22"/>
    </row>
    <row r="16" spans="1:18" ht="15" customHeight="1" x14ac:dyDescent="0.25">
      <c r="B16" s="19"/>
      <c r="C16" s="19"/>
      <c r="D16" s="19"/>
      <c r="E16" s="19"/>
      <c r="F16" s="49"/>
      <c r="G16" s="49"/>
      <c r="H16" s="8" t="str">
        <f t="shared" si="0"/>
        <v/>
      </c>
      <c r="I16" s="33"/>
      <c r="J16" s="20"/>
      <c r="K16" s="21"/>
      <c r="L16" s="13"/>
      <c r="M16" s="13"/>
      <c r="N16" s="35"/>
      <c r="O16" s="51"/>
      <c r="P16" s="20"/>
      <c r="Q16" s="12"/>
      <c r="R16" s="22"/>
    </row>
    <row r="17" spans="1:18" ht="15" customHeight="1" x14ac:dyDescent="0.25">
      <c r="B17" s="19"/>
      <c r="C17" s="19"/>
      <c r="D17" s="19"/>
      <c r="E17" s="19"/>
      <c r="F17" s="49"/>
      <c r="G17" s="49"/>
      <c r="H17" s="8" t="str">
        <f t="shared" si="0"/>
        <v/>
      </c>
      <c r="I17" s="33"/>
      <c r="J17" s="20"/>
      <c r="K17" s="21"/>
      <c r="L17" s="13"/>
      <c r="M17" s="13"/>
      <c r="N17" s="35"/>
      <c r="O17" s="51"/>
      <c r="P17" s="20"/>
      <c r="Q17" s="12"/>
      <c r="R17" s="22"/>
    </row>
    <row r="18" spans="1:18" ht="15" customHeight="1" x14ac:dyDescent="0.25">
      <c r="B18" s="19"/>
      <c r="C18" s="19"/>
      <c r="D18" s="19"/>
      <c r="E18" s="19"/>
      <c r="F18" s="49"/>
      <c r="G18" s="49"/>
      <c r="H18" s="8" t="str">
        <f t="shared" si="0"/>
        <v/>
      </c>
      <c r="I18" s="33"/>
      <c r="J18" s="20"/>
      <c r="K18" s="21"/>
      <c r="L18" s="13"/>
      <c r="M18" s="13"/>
      <c r="N18" s="35"/>
      <c r="O18" s="51"/>
      <c r="P18" s="20"/>
      <c r="Q18" s="12"/>
      <c r="R18" s="22"/>
    </row>
    <row r="19" spans="1:18" ht="15" customHeight="1" x14ac:dyDescent="0.25">
      <c r="A19" s="19"/>
      <c r="B19" s="19"/>
      <c r="C19" s="19"/>
      <c r="D19" s="19"/>
      <c r="E19" s="19"/>
      <c r="F19" s="49" t="str">
        <f t="shared" ref="F19:F25" si="1">IF(OR(B19="",C19="",D19=""),"",ROUND(B19*C19*D19/6000,2))</f>
        <v/>
      </c>
      <c r="G19" s="49" t="str">
        <f t="shared" ref="G19:G25" si="2">IF(F19="","",MAX(F19,IF(E19="",0,E19)))</f>
        <v/>
      </c>
      <c r="H19" s="8" t="str">
        <f t="shared" si="0"/>
        <v/>
      </c>
      <c r="I19" s="19"/>
      <c r="J19" s="20"/>
      <c r="K19" s="21"/>
      <c r="L19" s="13" t="str">
        <f>IF(OR(H19="",I19=""),"",INDEX(Ref_Frete!$B$2:$G$54,MATCH(I19,Ref_Frete!$A$2:$A$54,0),IF(H19="Pequenos",2,IF(H19="Medios",4,6))))</f>
        <v/>
      </c>
      <c r="M19" s="13" t="str">
        <f>IF(OR(H19="",I19=""),"",INDEX(Ref_Frete!$B$2:$G$54,MATCH(I19,Ref_Frete!$A$2:$A$54,0),IF(H19="Pequenos",1,IF(H19="Medios",3,5))))</f>
        <v/>
      </c>
      <c r="N19" s="35" t="str">
        <f t="shared" ref="N19:N25" si="3">IF(OR(J19="",K19="",L19="",M19=""),"",ROUND((J19+M19-L19*(1-$E$3))/(1-$E$3-$B$3-K19),2))</f>
        <v/>
      </c>
      <c r="O19" s="51"/>
      <c r="P19" s="20"/>
      <c r="Q19" s="12" t="str">
        <f t="shared" ref="Q19:Q25" si="4">IF(OR(P19="",J19="",L19="",M19=""),"",(P19-$E$3*(P19+L19)-J19-$B$3*P19+L19-M19)/P19)</f>
        <v/>
      </c>
      <c r="R19" s="22" t="str">
        <f t="shared" ref="R19:R25" si="5">IF(Q19="","",IF(Q19&lt;0,"PREJUÍZO",IF(Q19&lt;0.1,"CRÍTICO (&lt;10%)",IF(Q19&lt;0.15,"ABAIXO DA META (10-15%)",IF(Q19&lt;=0.2,"DENTRO DA META (15-20%)","ACIMA DA META (&gt;20%)")))))</f>
        <v/>
      </c>
    </row>
    <row r="20" spans="1:18" ht="15" customHeight="1" x14ac:dyDescent="0.25">
      <c r="A20" s="19"/>
      <c r="B20" s="19"/>
      <c r="C20" s="19"/>
      <c r="D20" s="19"/>
      <c r="E20" s="19"/>
      <c r="F20" s="49" t="str">
        <f t="shared" si="1"/>
        <v/>
      </c>
      <c r="G20" s="49" t="str">
        <f t="shared" si="2"/>
        <v/>
      </c>
      <c r="H20" s="8" t="str">
        <f t="shared" si="0"/>
        <v/>
      </c>
      <c r="I20" s="19"/>
      <c r="J20" s="20"/>
      <c r="K20" s="21"/>
      <c r="L20" s="13" t="str">
        <f>IF(OR(H20="",I20=""),"",INDEX(Ref_Frete!$B$2:$G$54,MATCH(I20,Ref_Frete!$A$2:$A$54,0),IF(H20="Pequenos",2,IF(H20="Medios",4,6))))</f>
        <v/>
      </c>
      <c r="M20" s="13" t="str">
        <f>IF(OR(H20="",I20=""),"",INDEX(Ref_Frete!$B$2:$G$54,MATCH(I20,Ref_Frete!$A$2:$A$54,0),IF(H20="Pequenos",1,IF(H20="Medios",3,5))))</f>
        <v/>
      </c>
      <c r="N20" s="35" t="str">
        <f t="shared" si="3"/>
        <v/>
      </c>
      <c r="O20" s="51"/>
      <c r="P20" s="20"/>
      <c r="Q20" s="12" t="str">
        <f t="shared" si="4"/>
        <v/>
      </c>
      <c r="R20" s="22" t="str">
        <f t="shared" si="5"/>
        <v/>
      </c>
    </row>
    <row r="21" spans="1:18" ht="15" customHeight="1" x14ac:dyDescent="0.25">
      <c r="A21" s="19"/>
      <c r="B21" s="19"/>
      <c r="C21" s="19"/>
      <c r="D21" s="19"/>
      <c r="E21" s="19"/>
      <c r="F21" s="49" t="str">
        <f t="shared" si="1"/>
        <v/>
      </c>
      <c r="G21" s="49" t="str">
        <f t="shared" si="2"/>
        <v/>
      </c>
      <c r="H21" s="8" t="str">
        <f t="shared" si="0"/>
        <v/>
      </c>
      <c r="I21" s="19"/>
      <c r="J21" s="20"/>
      <c r="K21" s="21"/>
      <c r="L21" s="13" t="str">
        <f>IF(OR(H21="",I21=""),"",INDEX(Ref_Frete!$B$2:$G$54,MATCH(I21,Ref_Frete!$A$2:$A$54,0),IF(H21="Pequenos",2,IF(H21="Medios",4,6))))</f>
        <v/>
      </c>
      <c r="M21" s="13" t="str">
        <f>IF(OR(H21="",I21=""),"",INDEX(Ref_Frete!$B$2:$G$54,MATCH(I21,Ref_Frete!$A$2:$A$54,0),IF(H21="Pequenos",1,IF(H21="Medios",3,5))))</f>
        <v/>
      </c>
      <c r="N21" s="35" t="str">
        <f t="shared" si="3"/>
        <v/>
      </c>
      <c r="O21" s="51"/>
      <c r="P21" s="20"/>
      <c r="Q21" s="12" t="str">
        <f t="shared" si="4"/>
        <v/>
      </c>
      <c r="R21" s="22" t="str">
        <f t="shared" si="5"/>
        <v/>
      </c>
    </row>
    <row r="22" spans="1:18" ht="15" customHeight="1" x14ac:dyDescent="0.25">
      <c r="A22" s="19"/>
      <c r="B22" s="19"/>
      <c r="C22" s="19"/>
      <c r="D22" s="19"/>
      <c r="E22" s="19"/>
      <c r="F22" s="49" t="str">
        <f t="shared" si="1"/>
        <v/>
      </c>
      <c r="G22" s="49" t="str">
        <f t="shared" si="2"/>
        <v/>
      </c>
      <c r="H22" s="8" t="str">
        <f t="shared" si="0"/>
        <v/>
      </c>
      <c r="I22" s="19"/>
      <c r="J22" s="20"/>
      <c r="K22" s="21"/>
      <c r="L22" s="13" t="str">
        <f>IF(OR(H22="",I22=""),"",INDEX(Ref_Frete!$B$2:$G$54,MATCH(I22,Ref_Frete!$A$2:$A$54,0),IF(H22="Pequenos",2,IF(H22="Medios",4,6))))</f>
        <v/>
      </c>
      <c r="M22" s="13" t="str">
        <f>IF(OR(H22="",I22=""),"",INDEX(Ref_Frete!$B$2:$G$54,MATCH(I22,Ref_Frete!$A$2:$A$54,0),IF(H22="Pequenos",1,IF(H22="Medios",3,5))))</f>
        <v/>
      </c>
      <c r="N22" s="35" t="str">
        <f t="shared" si="3"/>
        <v/>
      </c>
      <c r="O22" s="51"/>
      <c r="P22" s="20"/>
      <c r="Q22" s="12" t="str">
        <f t="shared" si="4"/>
        <v/>
      </c>
      <c r="R22" s="22" t="str">
        <f t="shared" si="5"/>
        <v/>
      </c>
    </row>
    <row r="23" spans="1:18" ht="15" customHeight="1" x14ac:dyDescent="0.25">
      <c r="A23" s="19"/>
      <c r="B23" s="19"/>
      <c r="C23" s="19"/>
      <c r="D23" s="19"/>
      <c r="E23" s="19"/>
      <c r="F23" s="49" t="str">
        <f t="shared" si="1"/>
        <v/>
      </c>
      <c r="G23" s="49" t="str">
        <f t="shared" si="2"/>
        <v/>
      </c>
      <c r="H23" s="8" t="str">
        <f t="shared" si="0"/>
        <v/>
      </c>
      <c r="I23" s="19"/>
      <c r="J23" s="20"/>
      <c r="K23" s="21"/>
      <c r="L23" s="13" t="str">
        <f>IF(OR(H23="",I23=""),"",INDEX(Ref_Frete!$B$2:$G$54,MATCH(I23,Ref_Frete!$A$2:$A$54,0),IF(H23="Pequenos",2,IF(H23="Medios",4,6))))</f>
        <v/>
      </c>
      <c r="M23" s="13" t="str">
        <f>IF(OR(H23="",I23=""),"",INDEX(Ref_Frete!$B$2:$G$54,MATCH(I23,Ref_Frete!$A$2:$A$54,0),IF(H23="Pequenos",1,IF(H23="Medios",3,5))))</f>
        <v/>
      </c>
      <c r="N23" s="35" t="str">
        <f t="shared" si="3"/>
        <v/>
      </c>
      <c r="O23" s="51"/>
      <c r="P23" s="20"/>
      <c r="Q23" s="12" t="str">
        <f t="shared" si="4"/>
        <v/>
      </c>
      <c r="R23" s="22" t="str">
        <f t="shared" si="5"/>
        <v/>
      </c>
    </row>
    <row r="24" spans="1:18" ht="15" customHeight="1" x14ac:dyDescent="0.25">
      <c r="A24" s="19"/>
      <c r="B24" s="19"/>
      <c r="C24" s="19"/>
      <c r="D24" s="19"/>
      <c r="E24" s="19"/>
      <c r="F24" s="49" t="str">
        <f t="shared" si="1"/>
        <v/>
      </c>
      <c r="G24" s="49" t="str">
        <f t="shared" si="2"/>
        <v/>
      </c>
      <c r="H24" s="8" t="str">
        <f t="shared" si="0"/>
        <v/>
      </c>
      <c r="I24" s="19"/>
      <c r="J24" s="20"/>
      <c r="K24" s="21"/>
      <c r="L24" s="13" t="str">
        <f>IF(OR(H24="",I24=""),"",INDEX(Ref_Frete!$B$2:$G$54,MATCH(I24,Ref_Frete!$A$2:$A$54,0),IF(H24="Pequenos",2,IF(H24="Medios",4,6))))</f>
        <v/>
      </c>
      <c r="M24" s="13" t="str">
        <f>IF(OR(H24="",I24=""),"",INDEX(Ref_Frete!$B$2:$G$54,MATCH(I24,Ref_Frete!$A$2:$A$54,0),IF(H24="Pequenos",1,IF(H24="Medios",3,5))))</f>
        <v/>
      </c>
      <c r="N24" s="35" t="str">
        <f t="shared" si="3"/>
        <v/>
      </c>
      <c r="O24" s="51"/>
      <c r="P24" s="20"/>
      <c r="Q24" s="12" t="str">
        <f t="shared" si="4"/>
        <v/>
      </c>
      <c r="R24" s="22" t="str">
        <f t="shared" si="5"/>
        <v/>
      </c>
    </row>
    <row r="25" spans="1:18" ht="15" customHeight="1" x14ac:dyDescent="0.25">
      <c r="A25" s="19"/>
      <c r="B25" s="19"/>
      <c r="C25" s="19"/>
      <c r="D25" s="19"/>
      <c r="E25" s="19"/>
      <c r="F25" s="49" t="str">
        <f t="shared" si="1"/>
        <v/>
      </c>
      <c r="G25" s="49" t="str">
        <f t="shared" si="2"/>
        <v/>
      </c>
      <c r="H25" s="8" t="str">
        <f t="shared" si="0"/>
        <v/>
      </c>
      <c r="I25" s="19"/>
      <c r="J25" s="20"/>
      <c r="K25" s="21"/>
      <c r="L25" s="13" t="str">
        <f>IF(OR(H25="",I25=""),"",INDEX(Ref_Frete!$B$2:$G$54,MATCH(I25,Ref_Frete!$A$2:$A$54,0),IF(H25="Pequenos",2,IF(H25="Medios",4,6))))</f>
        <v/>
      </c>
      <c r="M25" s="13" t="str">
        <f>IF(OR(H25="",I25=""),"",INDEX(Ref_Frete!$B$2:$G$54,MATCH(I25,Ref_Frete!$A$2:$A$54,0),IF(H25="Pequenos",1,IF(H25="Medios",3,5))))</f>
        <v/>
      </c>
      <c r="N25" s="35" t="str">
        <f t="shared" si="3"/>
        <v/>
      </c>
      <c r="O25" s="51"/>
      <c r="P25" s="20"/>
      <c r="Q25" s="12" t="str">
        <f t="shared" si="4"/>
        <v/>
      </c>
      <c r="R25" s="22" t="str">
        <f t="shared" si="5"/>
        <v/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Ref_Frete!$A$2:$A$54</xm:f>
          </x14:formula1>
          <x14:formula2>
            <xm:f>0</xm:f>
          </x14:formula2>
          <xm:sqref>I6:I25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zoomScaleNormal="100" workbookViewId="0">
      <pane ySplit="1" topLeftCell="A2" activePane="bottomLeft" state="frozen"/>
      <selection pane="bottomLeft" activeCell="C2" sqref="C2"/>
    </sheetView>
  </sheetViews>
  <sheetFormatPr defaultColWidth="8.7109375" defaultRowHeight="15" x14ac:dyDescent="0.25"/>
  <cols>
    <col min="1" max="1" width="28" style="1" customWidth="1"/>
    <col min="2" max="2" width="14" style="1" customWidth="1"/>
    <col min="3" max="3" width="13" style="1" customWidth="1"/>
    <col min="4" max="4" width="14" style="1" customWidth="1"/>
    <col min="5" max="5" width="13" style="1" customWidth="1"/>
    <col min="6" max="6" width="14" style="1" customWidth="1"/>
    <col min="7" max="7" width="13" style="1" customWidth="1"/>
  </cols>
  <sheetData>
    <row r="1" spans="1:7" ht="23.25" customHeight="1" x14ac:dyDescent="0.25">
      <c r="A1" s="42" t="s">
        <v>82</v>
      </c>
      <c r="B1" s="42" t="s">
        <v>371</v>
      </c>
      <c r="C1" s="42" t="s">
        <v>372</v>
      </c>
      <c r="D1" s="42" t="s">
        <v>373</v>
      </c>
      <c r="E1" s="42" t="s">
        <v>374</v>
      </c>
      <c r="F1" s="42" t="s">
        <v>375</v>
      </c>
      <c r="G1" s="42" t="s">
        <v>376</v>
      </c>
    </row>
    <row r="2" spans="1:7" ht="15" customHeight="1" x14ac:dyDescent="0.25">
      <c r="A2" s="8" t="s">
        <v>206</v>
      </c>
      <c r="B2" s="13">
        <v>52</v>
      </c>
      <c r="C2" s="13">
        <v>52</v>
      </c>
      <c r="D2" s="13">
        <v>122</v>
      </c>
      <c r="E2" s="13">
        <v>122</v>
      </c>
      <c r="F2" s="13">
        <v>320</v>
      </c>
      <c r="G2" s="13">
        <v>320</v>
      </c>
    </row>
    <row r="3" spans="1:7" ht="15" customHeight="1" x14ac:dyDescent="0.25">
      <c r="A3" s="8" t="s">
        <v>225</v>
      </c>
      <c r="B3" s="13">
        <v>42</v>
      </c>
      <c r="C3" s="13">
        <v>42</v>
      </c>
      <c r="D3" s="13">
        <v>85</v>
      </c>
      <c r="E3" s="13">
        <v>85</v>
      </c>
      <c r="F3" s="13">
        <v>233</v>
      </c>
      <c r="G3" s="13">
        <v>233</v>
      </c>
    </row>
    <row r="4" spans="1:7" ht="15" customHeight="1" x14ac:dyDescent="0.25">
      <c r="A4" s="8" t="s">
        <v>377</v>
      </c>
      <c r="B4" s="13">
        <v>52</v>
      </c>
      <c r="C4" s="13">
        <v>52</v>
      </c>
      <c r="D4" s="13">
        <v>110</v>
      </c>
      <c r="E4" s="13">
        <v>110</v>
      </c>
      <c r="F4" s="13">
        <v>298</v>
      </c>
      <c r="G4" s="13">
        <v>298</v>
      </c>
    </row>
    <row r="5" spans="1:7" ht="15" customHeight="1" x14ac:dyDescent="0.25">
      <c r="A5" s="8" t="s">
        <v>248</v>
      </c>
      <c r="B5" s="13">
        <v>43</v>
      </c>
      <c r="C5" s="13">
        <v>43</v>
      </c>
      <c r="D5" s="13">
        <v>90</v>
      </c>
      <c r="E5" s="13">
        <v>90</v>
      </c>
      <c r="F5" s="13">
        <v>232</v>
      </c>
      <c r="G5" s="13">
        <v>232</v>
      </c>
    </row>
    <row r="6" spans="1:7" ht="15" customHeight="1" x14ac:dyDescent="0.25">
      <c r="A6" s="8" t="s">
        <v>378</v>
      </c>
      <c r="B6" s="13">
        <v>68</v>
      </c>
      <c r="C6" s="13">
        <v>68</v>
      </c>
      <c r="D6" s="13">
        <v>157</v>
      </c>
      <c r="E6" s="13">
        <v>157</v>
      </c>
      <c r="F6" s="13">
        <v>455</v>
      </c>
      <c r="G6" s="13">
        <v>455</v>
      </c>
    </row>
    <row r="7" spans="1:7" ht="15" customHeight="1" x14ac:dyDescent="0.25">
      <c r="A7" s="8" t="s">
        <v>379</v>
      </c>
      <c r="B7" s="13">
        <v>80</v>
      </c>
      <c r="C7" s="13">
        <v>80</v>
      </c>
      <c r="D7" s="13">
        <v>160</v>
      </c>
      <c r="E7" s="13">
        <v>160</v>
      </c>
      <c r="F7" s="13">
        <v>645</v>
      </c>
      <c r="G7" s="13">
        <v>645</v>
      </c>
    </row>
    <row r="8" spans="1:7" ht="15" customHeight="1" x14ac:dyDescent="0.25">
      <c r="A8" s="8" t="s">
        <v>380</v>
      </c>
      <c r="B8" s="13">
        <v>115</v>
      </c>
      <c r="C8" s="13">
        <v>115</v>
      </c>
      <c r="D8" s="13">
        <v>240</v>
      </c>
      <c r="E8" s="13">
        <v>240</v>
      </c>
      <c r="F8" s="13">
        <v>740</v>
      </c>
      <c r="G8" s="13">
        <v>740</v>
      </c>
    </row>
    <row r="9" spans="1:7" ht="15" customHeight="1" x14ac:dyDescent="0.25">
      <c r="A9" s="8" t="s">
        <v>381</v>
      </c>
      <c r="B9" s="13">
        <v>90</v>
      </c>
      <c r="C9" s="13">
        <v>90</v>
      </c>
      <c r="D9" s="13">
        <v>215</v>
      </c>
      <c r="E9" s="13">
        <v>215</v>
      </c>
      <c r="F9" s="13">
        <v>562</v>
      </c>
      <c r="G9" s="13">
        <v>562</v>
      </c>
    </row>
    <row r="10" spans="1:7" ht="15" customHeight="1" x14ac:dyDescent="0.25">
      <c r="A10" s="8" t="s">
        <v>382</v>
      </c>
      <c r="B10" s="13">
        <v>185</v>
      </c>
      <c r="C10" s="13">
        <v>185</v>
      </c>
      <c r="D10" s="13">
        <v>425</v>
      </c>
      <c r="E10" s="13">
        <v>425</v>
      </c>
      <c r="F10" s="13">
        <v>1120</v>
      </c>
      <c r="G10" s="13">
        <v>1120</v>
      </c>
    </row>
    <row r="11" spans="1:7" ht="15" customHeight="1" x14ac:dyDescent="0.25">
      <c r="A11" s="8" t="s">
        <v>383</v>
      </c>
      <c r="B11" s="13">
        <v>100</v>
      </c>
      <c r="C11" s="13">
        <v>100</v>
      </c>
      <c r="D11" s="13">
        <v>260</v>
      </c>
      <c r="E11" s="13">
        <v>260</v>
      </c>
      <c r="F11" s="13">
        <v>705</v>
      </c>
      <c r="G11" s="13">
        <v>705</v>
      </c>
    </row>
    <row r="12" spans="1:7" ht="15" customHeight="1" x14ac:dyDescent="0.25">
      <c r="A12" s="8" t="s">
        <v>384</v>
      </c>
      <c r="B12" s="13">
        <v>200</v>
      </c>
      <c r="C12" s="13">
        <v>200</v>
      </c>
      <c r="D12" s="13">
        <v>450</v>
      </c>
      <c r="E12" s="13">
        <v>450</v>
      </c>
      <c r="F12" s="13">
        <v>1280</v>
      </c>
      <c r="G12" s="13">
        <v>1280</v>
      </c>
    </row>
    <row r="13" spans="1:7" ht="15" customHeight="1" x14ac:dyDescent="0.25">
      <c r="A13" s="8" t="s">
        <v>385</v>
      </c>
      <c r="B13" s="13">
        <v>132</v>
      </c>
      <c r="C13" s="13">
        <v>132</v>
      </c>
      <c r="D13" s="13">
        <v>328</v>
      </c>
      <c r="E13" s="13">
        <v>328</v>
      </c>
      <c r="F13" s="13">
        <v>845</v>
      </c>
      <c r="G13" s="13">
        <v>845</v>
      </c>
    </row>
    <row r="14" spans="1:7" ht="15" customHeight="1" x14ac:dyDescent="0.25">
      <c r="A14" s="8" t="s">
        <v>386</v>
      </c>
      <c r="B14" s="13">
        <v>230</v>
      </c>
      <c r="C14" s="13">
        <v>230</v>
      </c>
      <c r="D14" s="13">
        <v>545</v>
      </c>
      <c r="E14" s="13">
        <v>545</v>
      </c>
      <c r="F14" s="13">
        <v>1420</v>
      </c>
      <c r="G14" s="13">
        <v>1420</v>
      </c>
    </row>
    <row r="15" spans="1:7" ht="15" customHeight="1" x14ac:dyDescent="0.25">
      <c r="A15" s="8" t="s">
        <v>387</v>
      </c>
      <c r="B15" s="13">
        <v>80</v>
      </c>
      <c r="C15" s="13">
        <v>80</v>
      </c>
      <c r="D15" s="13">
        <v>162</v>
      </c>
      <c r="E15" s="13">
        <v>162</v>
      </c>
      <c r="F15" s="13">
        <v>463</v>
      </c>
      <c r="G15" s="13">
        <v>463</v>
      </c>
    </row>
    <row r="16" spans="1:7" ht="15" customHeight="1" x14ac:dyDescent="0.25">
      <c r="A16" s="8" t="s">
        <v>388</v>
      </c>
      <c r="B16" s="13">
        <v>130</v>
      </c>
      <c r="C16" s="13">
        <v>130</v>
      </c>
      <c r="D16" s="13">
        <v>295</v>
      </c>
      <c r="E16" s="13">
        <v>295</v>
      </c>
      <c r="F16" s="13">
        <v>805</v>
      </c>
      <c r="G16" s="13">
        <v>805</v>
      </c>
    </row>
    <row r="17" spans="1:7" ht="15" customHeight="1" x14ac:dyDescent="0.25">
      <c r="A17" s="8" t="s">
        <v>389</v>
      </c>
      <c r="B17" s="13">
        <v>86</v>
      </c>
      <c r="C17" s="13">
        <v>86</v>
      </c>
      <c r="D17" s="13">
        <v>210</v>
      </c>
      <c r="E17" s="13">
        <v>210</v>
      </c>
      <c r="F17" s="13">
        <v>560</v>
      </c>
      <c r="G17" s="13">
        <v>560</v>
      </c>
    </row>
    <row r="18" spans="1:7" ht="15" customHeight="1" x14ac:dyDescent="0.25">
      <c r="A18" s="8" t="s">
        <v>390</v>
      </c>
      <c r="B18" s="13">
        <v>185</v>
      </c>
      <c r="C18" s="13">
        <v>185</v>
      </c>
      <c r="D18" s="13">
        <v>405</v>
      </c>
      <c r="E18" s="13">
        <v>405</v>
      </c>
      <c r="F18" s="13">
        <v>1100</v>
      </c>
      <c r="G18" s="13">
        <v>1100</v>
      </c>
    </row>
    <row r="19" spans="1:7" ht="15" customHeight="1" x14ac:dyDescent="0.25">
      <c r="A19" s="8" t="s">
        <v>391</v>
      </c>
      <c r="B19" s="13">
        <v>128</v>
      </c>
      <c r="C19" s="13">
        <v>128</v>
      </c>
      <c r="D19" s="13">
        <v>330</v>
      </c>
      <c r="E19" s="13">
        <v>330</v>
      </c>
      <c r="F19" s="13">
        <v>870</v>
      </c>
      <c r="G19" s="13">
        <v>870</v>
      </c>
    </row>
    <row r="20" spans="1:7" ht="15" customHeight="1" x14ac:dyDescent="0.25">
      <c r="A20" s="8" t="s">
        <v>392</v>
      </c>
      <c r="B20" s="13">
        <v>220</v>
      </c>
      <c r="C20" s="13">
        <v>220</v>
      </c>
      <c r="D20" s="13">
        <v>620</v>
      </c>
      <c r="E20" s="13">
        <v>620</v>
      </c>
      <c r="F20" s="13">
        <v>1410</v>
      </c>
      <c r="G20" s="13">
        <v>1410</v>
      </c>
    </row>
    <row r="21" spans="1:7" ht="15" customHeight="1" x14ac:dyDescent="0.25">
      <c r="A21" s="8" t="s">
        <v>393</v>
      </c>
      <c r="B21" s="13">
        <v>62</v>
      </c>
      <c r="C21" s="13">
        <v>62</v>
      </c>
      <c r="D21" s="13">
        <v>110</v>
      </c>
      <c r="E21" s="13">
        <v>110</v>
      </c>
      <c r="F21" s="13">
        <v>380</v>
      </c>
      <c r="G21" s="13">
        <v>380</v>
      </c>
    </row>
    <row r="22" spans="1:7" ht="15" customHeight="1" x14ac:dyDescent="0.25">
      <c r="A22" s="8" t="s">
        <v>394</v>
      </c>
      <c r="B22" s="13">
        <v>95</v>
      </c>
      <c r="C22" s="13">
        <v>95</v>
      </c>
      <c r="D22" s="13">
        <v>175</v>
      </c>
      <c r="E22" s="13">
        <v>175</v>
      </c>
      <c r="F22" s="13">
        <v>525</v>
      </c>
      <c r="G22" s="13">
        <v>525</v>
      </c>
    </row>
    <row r="23" spans="1:7" ht="15" customHeight="1" x14ac:dyDescent="0.25">
      <c r="A23" s="8" t="s">
        <v>395</v>
      </c>
      <c r="B23" s="13">
        <v>66</v>
      </c>
      <c r="C23" s="13">
        <v>66</v>
      </c>
      <c r="D23" s="13">
        <v>132</v>
      </c>
      <c r="E23" s="13">
        <v>132</v>
      </c>
      <c r="F23" s="13">
        <v>373</v>
      </c>
      <c r="G23" s="13">
        <v>373</v>
      </c>
    </row>
    <row r="24" spans="1:7" ht="15" customHeight="1" x14ac:dyDescent="0.25">
      <c r="A24" s="8" t="s">
        <v>245</v>
      </c>
      <c r="B24" s="13">
        <v>165</v>
      </c>
      <c r="C24" s="13">
        <v>165</v>
      </c>
      <c r="D24" s="13">
        <v>340</v>
      </c>
      <c r="E24" s="13">
        <v>340</v>
      </c>
      <c r="F24" s="13">
        <v>1015</v>
      </c>
      <c r="G24" s="13">
        <v>1015</v>
      </c>
    </row>
    <row r="25" spans="1:7" ht="15" customHeight="1" x14ac:dyDescent="0.25">
      <c r="A25" s="8" t="s">
        <v>228</v>
      </c>
      <c r="B25" s="13">
        <v>66</v>
      </c>
      <c r="C25" s="13">
        <v>66</v>
      </c>
      <c r="D25" s="13">
        <v>118</v>
      </c>
      <c r="E25" s="13">
        <v>118</v>
      </c>
      <c r="F25" s="13">
        <v>368</v>
      </c>
      <c r="G25" s="13">
        <v>368</v>
      </c>
    </row>
    <row r="26" spans="1:7" ht="15" customHeight="1" x14ac:dyDescent="0.25">
      <c r="A26" s="8" t="s">
        <v>396</v>
      </c>
      <c r="B26" s="13">
        <v>67</v>
      </c>
      <c r="C26" s="13">
        <v>67</v>
      </c>
      <c r="D26" s="13">
        <v>142</v>
      </c>
      <c r="E26" s="13">
        <v>142</v>
      </c>
      <c r="F26" s="13">
        <v>362</v>
      </c>
      <c r="G26" s="13">
        <v>362</v>
      </c>
    </row>
    <row r="27" spans="1:7" ht="15" customHeight="1" x14ac:dyDescent="0.25">
      <c r="A27" s="8" t="s">
        <v>231</v>
      </c>
      <c r="B27" s="13">
        <v>70</v>
      </c>
      <c r="C27" s="13">
        <v>70</v>
      </c>
      <c r="D27" s="13">
        <v>158</v>
      </c>
      <c r="E27" s="13">
        <v>158</v>
      </c>
      <c r="F27" s="13">
        <v>423</v>
      </c>
      <c r="G27" s="13">
        <v>423</v>
      </c>
    </row>
    <row r="28" spans="1:7" ht="15" customHeight="1" x14ac:dyDescent="0.25">
      <c r="A28" s="8" t="s">
        <v>397</v>
      </c>
      <c r="B28" s="13">
        <v>103</v>
      </c>
      <c r="C28" s="13">
        <v>103</v>
      </c>
      <c r="D28" s="13">
        <v>198</v>
      </c>
      <c r="E28" s="13">
        <v>198</v>
      </c>
      <c r="F28" s="13">
        <v>598</v>
      </c>
      <c r="G28" s="13">
        <v>598</v>
      </c>
    </row>
    <row r="29" spans="1:7" ht="15" customHeight="1" x14ac:dyDescent="0.25">
      <c r="A29" s="8" t="s">
        <v>398</v>
      </c>
      <c r="B29" s="13">
        <v>82</v>
      </c>
      <c r="C29" s="13">
        <v>82</v>
      </c>
      <c r="D29" s="13">
        <v>161</v>
      </c>
      <c r="E29" s="13">
        <v>161</v>
      </c>
      <c r="F29" s="13">
        <v>446</v>
      </c>
      <c r="G29" s="13">
        <v>446</v>
      </c>
    </row>
    <row r="30" spans="1:7" ht="15" customHeight="1" x14ac:dyDescent="0.25">
      <c r="A30" s="8" t="s">
        <v>399</v>
      </c>
      <c r="B30" s="13">
        <v>145</v>
      </c>
      <c r="C30" s="13">
        <v>145</v>
      </c>
      <c r="D30" s="13">
        <v>285</v>
      </c>
      <c r="E30" s="13">
        <v>285</v>
      </c>
      <c r="F30" s="13">
        <v>755</v>
      </c>
      <c r="G30" s="13">
        <v>755</v>
      </c>
    </row>
    <row r="31" spans="1:7" ht="15" customHeight="1" x14ac:dyDescent="0.25">
      <c r="A31" s="8" t="s">
        <v>246</v>
      </c>
      <c r="B31" s="13">
        <v>70</v>
      </c>
      <c r="C31" s="13">
        <v>70</v>
      </c>
      <c r="D31" s="13">
        <v>157</v>
      </c>
      <c r="E31" s="13">
        <v>157</v>
      </c>
      <c r="F31" s="13">
        <v>422</v>
      </c>
      <c r="G31" s="13">
        <v>422</v>
      </c>
    </row>
    <row r="32" spans="1:7" ht="15" customHeight="1" x14ac:dyDescent="0.25">
      <c r="A32" s="8" t="s">
        <v>400</v>
      </c>
      <c r="B32" s="13">
        <v>125</v>
      </c>
      <c r="C32" s="13">
        <v>125</v>
      </c>
      <c r="D32" s="13">
        <v>250</v>
      </c>
      <c r="E32" s="13">
        <v>250</v>
      </c>
      <c r="F32" s="13">
        <v>697</v>
      </c>
      <c r="G32" s="13">
        <v>697</v>
      </c>
    </row>
    <row r="33" spans="1:7" ht="15" customHeight="1" x14ac:dyDescent="0.25">
      <c r="A33" s="8" t="s">
        <v>239</v>
      </c>
      <c r="B33" s="13">
        <v>70</v>
      </c>
      <c r="C33" s="13">
        <v>70</v>
      </c>
      <c r="D33" s="13">
        <v>153</v>
      </c>
      <c r="E33" s="13">
        <v>153</v>
      </c>
      <c r="F33" s="13">
        <v>402</v>
      </c>
      <c r="G33" s="13">
        <v>402</v>
      </c>
    </row>
    <row r="34" spans="1:7" ht="15" customHeight="1" x14ac:dyDescent="0.25">
      <c r="A34" s="8" t="s">
        <v>401</v>
      </c>
      <c r="B34" s="13">
        <v>96</v>
      </c>
      <c r="C34" s="13">
        <v>96</v>
      </c>
      <c r="D34" s="13">
        <v>208</v>
      </c>
      <c r="E34" s="13">
        <v>208</v>
      </c>
      <c r="F34" s="13">
        <v>576</v>
      </c>
      <c r="G34" s="13">
        <v>576</v>
      </c>
    </row>
    <row r="35" spans="1:7" ht="15" customHeight="1" x14ac:dyDescent="0.25">
      <c r="A35" s="8" t="s">
        <v>402</v>
      </c>
      <c r="B35" s="13">
        <v>80</v>
      </c>
      <c r="C35" s="13">
        <v>80</v>
      </c>
      <c r="D35" s="13">
        <v>170</v>
      </c>
      <c r="E35" s="13">
        <v>170</v>
      </c>
      <c r="F35" s="13">
        <v>428</v>
      </c>
      <c r="G35" s="13">
        <v>428</v>
      </c>
    </row>
    <row r="36" spans="1:7" ht="15" customHeight="1" x14ac:dyDescent="0.25">
      <c r="A36" s="8" t="s">
        <v>403</v>
      </c>
      <c r="B36" s="13">
        <v>129</v>
      </c>
      <c r="C36" s="13">
        <v>129</v>
      </c>
      <c r="D36" s="13">
        <v>315</v>
      </c>
      <c r="E36" s="13">
        <v>315</v>
      </c>
      <c r="F36" s="13">
        <v>770</v>
      </c>
      <c r="G36" s="13">
        <v>770</v>
      </c>
    </row>
    <row r="37" spans="1:7" ht="15" customHeight="1" x14ac:dyDescent="0.25">
      <c r="A37" s="8" t="s">
        <v>221</v>
      </c>
      <c r="B37" s="13">
        <v>77</v>
      </c>
      <c r="C37" s="13">
        <v>77</v>
      </c>
      <c r="D37" s="13">
        <v>185</v>
      </c>
      <c r="E37" s="13">
        <v>185</v>
      </c>
      <c r="F37" s="13">
        <v>480</v>
      </c>
      <c r="G37" s="13">
        <v>480</v>
      </c>
    </row>
    <row r="38" spans="1:7" ht="15" customHeight="1" x14ac:dyDescent="0.25">
      <c r="A38" s="8" t="s">
        <v>404</v>
      </c>
      <c r="B38" s="13">
        <v>140</v>
      </c>
      <c r="C38" s="13">
        <v>140</v>
      </c>
      <c r="D38" s="13">
        <v>285</v>
      </c>
      <c r="E38" s="13">
        <v>285</v>
      </c>
      <c r="F38" s="13">
        <v>755</v>
      </c>
      <c r="G38" s="13">
        <v>755</v>
      </c>
    </row>
    <row r="39" spans="1:7" ht="15" customHeight="1" x14ac:dyDescent="0.25">
      <c r="A39" s="8" t="s">
        <v>405</v>
      </c>
      <c r="B39" s="13">
        <v>66</v>
      </c>
      <c r="C39" s="13">
        <v>66</v>
      </c>
      <c r="D39" s="13">
        <v>135</v>
      </c>
      <c r="E39" s="13">
        <v>135</v>
      </c>
      <c r="F39" s="13">
        <v>390</v>
      </c>
      <c r="G39" s="13">
        <v>390</v>
      </c>
    </row>
    <row r="40" spans="1:7" ht="15" customHeight="1" x14ac:dyDescent="0.25">
      <c r="A40" s="8" t="s">
        <v>406</v>
      </c>
      <c r="B40" s="13">
        <v>115</v>
      </c>
      <c r="C40" s="13">
        <v>115</v>
      </c>
      <c r="D40" s="13">
        <v>245</v>
      </c>
      <c r="E40" s="13">
        <v>245</v>
      </c>
      <c r="F40" s="13">
        <v>656</v>
      </c>
      <c r="G40" s="13">
        <v>656</v>
      </c>
    </row>
    <row r="41" spans="1:7" ht="15" customHeight="1" x14ac:dyDescent="0.25">
      <c r="A41" s="8" t="s">
        <v>213</v>
      </c>
      <c r="B41" s="13">
        <v>37</v>
      </c>
      <c r="C41" s="13">
        <v>24.9</v>
      </c>
      <c r="D41" s="13">
        <v>68</v>
      </c>
      <c r="E41" s="13">
        <v>59.9</v>
      </c>
      <c r="F41" s="13">
        <v>180</v>
      </c>
      <c r="G41" s="13">
        <v>180</v>
      </c>
    </row>
    <row r="42" spans="1:7" ht="15" customHeight="1" x14ac:dyDescent="0.25">
      <c r="A42" s="8" t="s">
        <v>407</v>
      </c>
      <c r="B42" s="13">
        <v>45</v>
      </c>
      <c r="C42" s="13">
        <v>29.9</v>
      </c>
      <c r="D42" s="13">
        <v>80</v>
      </c>
      <c r="E42" s="13">
        <v>69.900000000000006</v>
      </c>
      <c r="F42" s="13">
        <v>211</v>
      </c>
      <c r="G42" s="13">
        <v>211</v>
      </c>
    </row>
    <row r="43" spans="1:7" ht="15" customHeight="1" x14ac:dyDescent="0.25">
      <c r="A43" s="8" t="s">
        <v>97</v>
      </c>
      <c r="B43" s="13">
        <v>46.5</v>
      </c>
      <c r="C43" s="13">
        <v>24.9</v>
      </c>
      <c r="D43" s="13">
        <v>89</v>
      </c>
      <c r="E43" s="13">
        <v>59.9</v>
      </c>
      <c r="F43" s="13">
        <v>233</v>
      </c>
      <c r="G43" s="13">
        <v>233</v>
      </c>
    </row>
    <row r="44" spans="1:7" ht="15" customHeight="1" x14ac:dyDescent="0.25">
      <c r="A44" s="8" t="s">
        <v>408</v>
      </c>
      <c r="B44" s="13">
        <v>50</v>
      </c>
      <c r="C44" s="13">
        <v>29.9</v>
      </c>
      <c r="D44" s="13">
        <v>100</v>
      </c>
      <c r="E44" s="13">
        <v>69.900000000000006</v>
      </c>
      <c r="F44" s="13">
        <v>246</v>
      </c>
      <c r="G44" s="13">
        <v>246</v>
      </c>
    </row>
    <row r="45" spans="1:7" ht="15" customHeight="1" x14ac:dyDescent="0.25">
      <c r="A45" s="8" t="s">
        <v>409</v>
      </c>
      <c r="B45" s="13">
        <v>40</v>
      </c>
      <c r="C45" s="13">
        <v>24.9</v>
      </c>
      <c r="D45" s="13">
        <v>78</v>
      </c>
      <c r="E45" s="13">
        <v>59.9</v>
      </c>
      <c r="F45" s="13">
        <v>199</v>
      </c>
      <c r="G45" s="13">
        <v>199</v>
      </c>
    </row>
    <row r="46" spans="1:7" ht="15" customHeight="1" x14ac:dyDescent="0.25">
      <c r="A46" s="8" t="s">
        <v>410</v>
      </c>
      <c r="B46" s="13">
        <v>45</v>
      </c>
      <c r="C46" s="13">
        <v>29.9</v>
      </c>
      <c r="D46" s="13">
        <v>85</v>
      </c>
      <c r="E46" s="13">
        <v>69.900000000000006</v>
      </c>
      <c r="F46" s="13">
        <v>208</v>
      </c>
      <c r="G46" s="13">
        <v>208</v>
      </c>
    </row>
    <row r="47" spans="1:7" ht="15" customHeight="1" x14ac:dyDescent="0.25">
      <c r="A47" s="8" t="s">
        <v>411</v>
      </c>
      <c r="B47" s="13">
        <v>45</v>
      </c>
      <c r="C47" s="13">
        <v>24.9</v>
      </c>
      <c r="D47" s="13">
        <v>93</v>
      </c>
      <c r="E47" s="13">
        <v>59.9</v>
      </c>
      <c r="F47" s="13">
        <v>224</v>
      </c>
      <c r="G47" s="13">
        <v>224</v>
      </c>
    </row>
    <row r="48" spans="1:7" ht="15" customHeight="1" x14ac:dyDescent="0.25">
      <c r="A48" s="8" t="s">
        <v>412</v>
      </c>
      <c r="B48" s="13">
        <v>80</v>
      </c>
      <c r="C48" s="13">
        <v>29.9</v>
      </c>
      <c r="D48" s="13">
        <v>108</v>
      </c>
      <c r="E48" s="13">
        <v>69.900000000000006</v>
      </c>
      <c r="F48" s="13">
        <v>274</v>
      </c>
      <c r="G48" s="13">
        <v>274</v>
      </c>
    </row>
    <row r="49" spans="1:7" ht="15" customHeight="1" x14ac:dyDescent="0.25">
      <c r="A49" s="8" t="s">
        <v>247</v>
      </c>
      <c r="B49" s="13">
        <v>38</v>
      </c>
      <c r="C49" s="13">
        <v>24.9</v>
      </c>
      <c r="D49" s="13">
        <v>72</v>
      </c>
      <c r="E49" s="13">
        <v>59.9</v>
      </c>
      <c r="F49" s="13">
        <v>274</v>
      </c>
      <c r="G49" s="13">
        <v>274</v>
      </c>
    </row>
    <row r="50" spans="1:7" ht="15" customHeight="1" x14ac:dyDescent="0.25">
      <c r="A50" s="8" t="s">
        <v>208</v>
      </c>
      <c r="B50" s="13">
        <v>53</v>
      </c>
      <c r="C50" s="13">
        <v>29.9</v>
      </c>
      <c r="D50" s="13">
        <v>85</v>
      </c>
      <c r="E50" s="13">
        <v>69.900000000000006</v>
      </c>
      <c r="F50" s="13">
        <v>213</v>
      </c>
      <c r="G50" s="13">
        <v>213</v>
      </c>
    </row>
    <row r="51" spans="1:7" ht="15" customHeight="1" x14ac:dyDescent="0.25">
      <c r="A51" s="8" t="s">
        <v>215</v>
      </c>
      <c r="B51" s="13">
        <v>39</v>
      </c>
      <c r="C51" s="13">
        <v>24.9</v>
      </c>
      <c r="D51" s="13">
        <v>65</v>
      </c>
      <c r="E51" s="13">
        <v>59.9</v>
      </c>
      <c r="F51" s="13">
        <v>178</v>
      </c>
      <c r="G51" s="13">
        <v>178</v>
      </c>
    </row>
    <row r="52" spans="1:7" ht="15" customHeight="1" x14ac:dyDescent="0.25">
      <c r="A52" s="8" t="s">
        <v>241</v>
      </c>
      <c r="B52" s="13">
        <v>58</v>
      </c>
      <c r="C52" s="13">
        <v>29.9</v>
      </c>
      <c r="D52" s="13">
        <v>92</v>
      </c>
      <c r="E52" s="13">
        <v>69.900000000000006</v>
      </c>
      <c r="F52" s="13">
        <v>234</v>
      </c>
      <c r="G52" s="13">
        <v>234</v>
      </c>
    </row>
    <row r="53" spans="1:7" ht="15" customHeight="1" x14ac:dyDescent="0.25">
      <c r="A53" s="8" t="s">
        <v>211</v>
      </c>
      <c r="B53" s="13">
        <v>24</v>
      </c>
      <c r="C53" s="13">
        <v>12.9</v>
      </c>
      <c r="D53" s="13">
        <v>49</v>
      </c>
      <c r="E53" s="13">
        <v>34.9</v>
      </c>
      <c r="F53" s="13">
        <v>106</v>
      </c>
      <c r="G53" s="13">
        <v>106</v>
      </c>
    </row>
    <row r="54" spans="1:7" ht="15" customHeight="1" x14ac:dyDescent="0.25">
      <c r="A54" s="8" t="s">
        <v>98</v>
      </c>
      <c r="B54" s="13">
        <v>30</v>
      </c>
      <c r="C54" s="13">
        <v>16.899999999999999</v>
      </c>
      <c r="D54" s="13">
        <v>49</v>
      </c>
      <c r="E54" s="13">
        <v>39.9</v>
      </c>
      <c r="F54" s="13">
        <v>120</v>
      </c>
      <c r="G54" s="13">
        <v>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"/>
  <sheetViews>
    <sheetView zoomScaleNormal="100" workbookViewId="0">
      <pane ySplit="94" topLeftCell="A95" activePane="bottomLeft" state="frozen"/>
      <selection pane="bottomLeft"/>
    </sheetView>
  </sheetViews>
  <sheetFormatPr defaultColWidth="8.7109375" defaultRowHeight="15" x14ac:dyDescent="0.25"/>
  <cols>
    <col min="1" max="1" width="12" style="1" customWidth="1"/>
    <col min="2" max="2" width="58" style="1" customWidth="1"/>
    <col min="3" max="3" width="16" style="1" customWidth="1"/>
    <col min="4" max="4" width="11" style="1" customWidth="1"/>
    <col min="5" max="5" width="12" style="1" customWidth="1"/>
    <col min="6" max="6" width="13" style="1" customWidth="1"/>
    <col min="7" max="7" width="15" style="1" customWidth="1"/>
    <col min="8" max="8" width="55" style="1" customWidth="1"/>
  </cols>
  <sheetData>
    <row r="1" spans="1:8" ht="16.5" customHeight="1" x14ac:dyDescent="0.25">
      <c r="A1" s="2" t="s">
        <v>413</v>
      </c>
    </row>
    <row r="2" spans="1:8" ht="15" customHeight="1" x14ac:dyDescent="0.25">
      <c r="A2" s="5" t="s">
        <v>414</v>
      </c>
    </row>
    <row r="4" spans="1:8" ht="38.25" customHeight="1" x14ac:dyDescent="0.25">
      <c r="A4" s="18" t="s">
        <v>27</v>
      </c>
      <c r="B4" s="18" t="s">
        <v>415</v>
      </c>
      <c r="C4" s="18" t="s">
        <v>416</v>
      </c>
      <c r="D4" s="18" t="s">
        <v>361</v>
      </c>
      <c r="E4" s="18" t="s">
        <v>362</v>
      </c>
      <c r="F4" s="18" t="s">
        <v>363</v>
      </c>
      <c r="G4" s="18" t="s">
        <v>417</v>
      </c>
      <c r="H4" s="18" t="s">
        <v>94</v>
      </c>
    </row>
    <row r="5" spans="1:8" ht="26.25" customHeight="1" x14ac:dyDescent="0.25">
      <c r="A5" s="8" t="s">
        <v>112</v>
      </c>
      <c r="B5" s="8" t="s">
        <v>418</v>
      </c>
      <c r="C5" s="8" t="s">
        <v>419</v>
      </c>
      <c r="D5" s="8">
        <v>3</v>
      </c>
      <c r="E5" s="8">
        <v>5.21</v>
      </c>
      <c r="F5" s="8">
        <v>5.21</v>
      </c>
      <c r="G5" s="7" t="s">
        <v>420</v>
      </c>
      <c r="H5" s="52" t="s">
        <v>421</v>
      </c>
    </row>
    <row r="6" spans="1:8" ht="26.25" customHeight="1" x14ac:dyDescent="0.25">
      <c r="A6" s="8" t="s">
        <v>113</v>
      </c>
      <c r="B6" s="8" t="s">
        <v>422</v>
      </c>
      <c r="C6" s="8" t="s">
        <v>419</v>
      </c>
      <c r="D6" s="8">
        <v>3</v>
      </c>
      <c r="E6" s="8">
        <v>5.21</v>
      </c>
      <c r="F6" s="8">
        <v>5.21</v>
      </c>
      <c r="G6" s="7" t="s">
        <v>420</v>
      </c>
      <c r="H6" s="52" t="s">
        <v>421</v>
      </c>
    </row>
    <row r="7" spans="1:8" ht="26.25" customHeight="1" x14ac:dyDescent="0.25">
      <c r="A7" s="8" t="s">
        <v>114</v>
      </c>
      <c r="B7" s="8" t="s">
        <v>423</v>
      </c>
      <c r="C7" s="8" t="s">
        <v>419</v>
      </c>
      <c r="D7" s="8">
        <v>3</v>
      </c>
      <c r="E7" s="8">
        <v>5.21</v>
      </c>
      <c r="F7" s="8">
        <v>5.21</v>
      </c>
      <c r="G7" s="7" t="s">
        <v>420</v>
      </c>
      <c r="H7" s="52" t="s">
        <v>421</v>
      </c>
    </row>
    <row r="8" spans="1:8" ht="26.25" customHeight="1" x14ac:dyDescent="0.25">
      <c r="A8" s="8" t="s">
        <v>116</v>
      </c>
      <c r="B8" s="8" t="s">
        <v>424</v>
      </c>
      <c r="C8" s="8" t="s">
        <v>419</v>
      </c>
      <c r="D8" s="8">
        <v>3</v>
      </c>
      <c r="E8" s="8">
        <v>5.21</v>
      </c>
      <c r="F8" s="8">
        <v>5.21</v>
      </c>
      <c r="G8" s="7" t="s">
        <v>420</v>
      </c>
      <c r="H8" s="52" t="s">
        <v>421</v>
      </c>
    </row>
    <row r="9" spans="1:8" ht="26.25" customHeight="1" x14ac:dyDescent="0.25">
      <c r="A9" s="8" t="s">
        <v>38</v>
      </c>
      <c r="B9" s="8" t="s">
        <v>425</v>
      </c>
      <c r="C9" s="8" t="s">
        <v>419</v>
      </c>
      <c r="D9" s="8">
        <v>3</v>
      </c>
      <c r="E9" s="8">
        <v>5.21</v>
      </c>
      <c r="F9" s="8">
        <v>5.21</v>
      </c>
      <c r="G9" s="7" t="s">
        <v>420</v>
      </c>
      <c r="H9" s="52" t="s">
        <v>421</v>
      </c>
    </row>
    <row r="10" spans="1:8" ht="26.25" customHeight="1" x14ac:dyDescent="0.25">
      <c r="A10" s="8" t="s">
        <v>117</v>
      </c>
      <c r="B10" s="8" t="s">
        <v>426</v>
      </c>
      <c r="C10" s="8" t="s">
        <v>419</v>
      </c>
      <c r="D10" s="8">
        <v>3</v>
      </c>
      <c r="E10" s="8">
        <v>5.21</v>
      </c>
      <c r="F10" s="8">
        <v>5.21</v>
      </c>
      <c r="G10" s="7" t="s">
        <v>420</v>
      </c>
      <c r="H10" s="52" t="s">
        <v>421</v>
      </c>
    </row>
    <row r="11" spans="1:8" ht="26.25" customHeight="1" x14ac:dyDescent="0.25">
      <c r="A11" s="8" t="s">
        <v>115</v>
      </c>
      <c r="B11" s="8" t="s">
        <v>427</v>
      </c>
      <c r="C11" s="8" t="s">
        <v>419</v>
      </c>
      <c r="D11" s="8">
        <v>3</v>
      </c>
      <c r="E11" s="8">
        <v>5.21</v>
      </c>
      <c r="F11" s="8">
        <v>5.21</v>
      </c>
      <c r="G11" s="7" t="s">
        <v>420</v>
      </c>
      <c r="H11" s="52" t="s">
        <v>421</v>
      </c>
    </row>
    <row r="12" spans="1:8" ht="26.25" customHeight="1" x14ac:dyDescent="0.25">
      <c r="A12" s="8" t="s">
        <v>123</v>
      </c>
      <c r="B12" s="8" t="s">
        <v>428</v>
      </c>
      <c r="C12" s="8" t="s">
        <v>419</v>
      </c>
      <c r="D12" s="8">
        <v>3</v>
      </c>
      <c r="E12" s="8">
        <v>5.21</v>
      </c>
      <c r="F12" s="8">
        <v>5.21</v>
      </c>
      <c r="G12" s="7" t="s">
        <v>420</v>
      </c>
      <c r="H12" s="52" t="s">
        <v>421</v>
      </c>
    </row>
    <row r="13" spans="1:8" ht="26.25" customHeight="1" x14ac:dyDescent="0.25">
      <c r="A13" s="8" t="s">
        <v>124</v>
      </c>
      <c r="B13" s="8" t="s">
        <v>429</v>
      </c>
      <c r="C13" s="8" t="s">
        <v>419</v>
      </c>
      <c r="D13" s="8">
        <v>3</v>
      </c>
      <c r="E13" s="8">
        <v>5.21</v>
      </c>
      <c r="F13" s="8">
        <v>5.21</v>
      </c>
      <c r="G13" s="7" t="s">
        <v>420</v>
      </c>
      <c r="H13" s="52" t="s">
        <v>421</v>
      </c>
    </row>
    <row r="14" spans="1:8" ht="15" customHeight="1" x14ac:dyDescent="0.25">
      <c r="A14" s="8" t="s">
        <v>103</v>
      </c>
      <c r="B14" s="8" t="s">
        <v>430</v>
      </c>
      <c r="C14" s="8" t="s">
        <v>431</v>
      </c>
      <c r="D14" s="8">
        <v>3</v>
      </c>
      <c r="E14" s="8">
        <v>4.6100000000000003</v>
      </c>
      <c r="F14" s="8">
        <v>4.6100000000000003</v>
      </c>
      <c r="G14" s="7" t="s">
        <v>420</v>
      </c>
      <c r="H14" s="52"/>
    </row>
    <row r="15" spans="1:8" ht="26.25" customHeight="1" x14ac:dyDescent="0.25">
      <c r="A15" s="8" t="s">
        <v>125</v>
      </c>
      <c r="B15" s="8" t="s">
        <v>432</v>
      </c>
      <c r="C15" s="8" t="s">
        <v>433</v>
      </c>
      <c r="D15" s="8">
        <v>2.5</v>
      </c>
      <c r="E15" s="8">
        <v>3.5</v>
      </c>
      <c r="F15" s="8">
        <v>3.5</v>
      </c>
      <c r="G15" s="7" t="s">
        <v>420</v>
      </c>
      <c r="H15" s="52" t="s">
        <v>434</v>
      </c>
    </row>
    <row r="16" spans="1:8" ht="15" customHeight="1" x14ac:dyDescent="0.25">
      <c r="A16" s="8" t="s">
        <v>46</v>
      </c>
      <c r="B16" s="8" t="s">
        <v>435</v>
      </c>
      <c r="C16" s="8" t="s">
        <v>436</v>
      </c>
      <c r="D16" s="8">
        <v>2</v>
      </c>
      <c r="E16" s="8">
        <v>3.12</v>
      </c>
      <c r="F16" s="8">
        <v>3.12</v>
      </c>
      <c r="G16" s="7" t="s">
        <v>420</v>
      </c>
      <c r="H16" s="52"/>
    </row>
    <row r="17" spans="1:8" ht="15" customHeight="1" x14ac:dyDescent="0.25">
      <c r="A17" s="8" t="s">
        <v>107</v>
      </c>
      <c r="B17" s="8" t="s">
        <v>437</v>
      </c>
      <c r="C17" s="8" t="s">
        <v>436</v>
      </c>
      <c r="D17" s="8">
        <v>2</v>
      </c>
      <c r="E17" s="8">
        <v>3.12</v>
      </c>
      <c r="F17" s="8">
        <v>3.12</v>
      </c>
      <c r="G17" s="7" t="s">
        <v>420</v>
      </c>
      <c r="H17" s="52"/>
    </row>
    <row r="18" spans="1:8" ht="15" customHeight="1" x14ac:dyDescent="0.25">
      <c r="A18" s="8" t="s">
        <v>108</v>
      </c>
      <c r="B18" s="8" t="s">
        <v>438</v>
      </c>
      <c r="C18" s="8" t="s">
        <v>436</v>
      </c>
      <c r="D18" s="8">
        <v>2</v>
      </c>
      <c r="E18" s="8">
        <v>3.12</v>
      </c>
      <c r="F18" s="8">
        <v>3.12</v>
      </c>
      <c r="G18" s="7" t="s">
        <v>420</v>
      </c>
      <c r="H18" s="52"/>
    </row>
    <row r="19" spans="1:8" ht="15" customHeight="1" x14ac:dyDescent="0.25">
      <c r="A19" s="8" t="s">
        <v>109</v>
      </c>
      <c r="B19" s="8" t="s">
        <v>439</v>
      </c>
      <c r="C19" s="8" t="s">
        <v>436</v>
      </c>
      <c r="D19" s="8">
        <v>2</v>
      </c>
      <c r="E19" s="8">
        <v>3.12</v>
      </c>
      <c r="F19" s="8">
        <v>3.12</v>
      </c>
      <c r="G19" s="7" t="s">
        <v>420</v>
      </c>
      <c r="H19" s="52"/>
    </row>
    <row r="20" spans="1:8" ht="15" customHeight="1" x14ac:dyDescent="0.25">
      <c r="A20" s="8" t="s">
        <v>110</v>
      </c>
      <c r="B20" s="8" t="s">
        <v>440</v>
      </c>
      <c r="C20" s="8" t="s">
        <v>436</v>
      </c>
      <c r="D20" s="8">
        <v>2</v>
      </c>
      <c r="E20" s="8">
        <v>3.12</v>
      </c>
      <c r="F20" s="8">
        <v>3.12</v>
      </c>
      <c r="G20" s="7" t="s">
        <v>420</v>
      </c>
      <c r="H20" s="52"/>
    </row>
    <row r="21" spans="1:8" ht="15" customHeight="1" x14ac:dyDescent="0.25">
      <c r="A21" s="8" t="s">
        <v>111</v>
      </c>
      <c r="B21" s="8" t="s">
        <v>441</v>
      </c>
      <c r="C21" s="8" t="s">
        <v>436</v>
      </c>
      <c r="D21" s="8">
        <v>2</v>
      </c>
      <c r="E21" s="8">
        <v>3.12</v>
      </c>
      <c r="F21" s="8">
        <v>3.12</v>
      </c>
      <c r="G21" s="7" t="s">
        <v>420</v>
      </c>
      <c r="H21" s="52"/>
    </row>
    <row r="22" spans="1:8" ht="15" customHeight="1" x14ac:dyDescent="0.25">
      <c r="A22" s="8" t="s">
        <v>40</v>
      </c>
      <c r="B22" s="8" t="s">
        <v>442</v>
      </c>
      <c r="C22" s="8" t="s">
        <v>436</v>
      </c>
      <c r="D22" s="8">
        <v>2</v>
      </c>
      <c r="E22" s="8">
        <v>3.12</v>
      </c>
      <c r="F22" s="8">
        <v>3.12</v>
      </c>
      <c r="G22" s="7" t="s">
        <v>420</v>
      </c>
      <c r="H22" s="52"/>
    </row>
    <row r="23" spans="1:8" ht="15" customHeight="1" x14ac:dyDescent="0.25">
      <c r="A23" s="8" t="s">
        <v>41</v>
      </c>
      <c r="B23" s="8" t="s">
        <v>443</v>
      </c>
      <c r="C23" s="8" t="s">
        <v>436</v>
      </c>
      <c r="D23" s="8">
        <v>2</v>
      </c>
      <c r="E23" s="8">
        <v>3.12</v>
      </c>
      <c r="F23" s="8">
        <v>3.12</v>
      </c>
      <c r="G23" s="7" t="s">
        <v>420</v>
      </c>
      <c r="H23" s="52"/>
    </row>
    <row r="24" spans="1:8" ht="15" customHeight="1" x14ac:dyDescent="0.25">
      <c r="A24" s="8" t="s">
        <v>39</v>
      </c>
      <c r="B24" s="8" t="s">
        <v>444</v>
      </c>
      <c r="C24" s="8" t="s">
        <v>436</v>
      </c>
      <c r="D24" s="8">
        <v>2</v>
      </c>
      <c r="E24" s="8">
        <v>3.12</v>
      </c>
      <c r="F24" s="8">
        <v>3.12</v>
      </c>
      <c r="G24" s="7" t="s">
        <v>420</v>
      </c>
      <c r="H24" s="52"/>
    </row>
    <row r="25" spans="1:8" ht="15" customHeight="1" x14ac:dyDescent="0.25">
      <c r="A25" s="8" t="s">
        <v>36</v>
      </c>
      <c r="B25" s="8" t="s">
        <v>445</v>
      </c>
      <c r="C25" s="8" t="s">
        <v>436</v>
      </c>
      <c r="D25" s="8">
        <v>2</v>
      </c>
      <c r="E25" s="8">
        <v>3.12</v>
      </c>
      <c r="F25" s="8">
        <v>3.12</v>
      </c>
      <c r="G25" s="7" t="s">
        <v>420</v>
      </c>
      <c r="H25" s="52"/>
    </row>
    <row r="26" spans="1:8" ht="15" customHeight="1" x14ac:dyDescent="0.25">
      <c r="A26" s="8" t="s">
        <v>120</v>
      </c>
      <c r="B26" s="8" t="s">
        <v>446</v>
      </c>
      <c r="C26" s="8" t="s">
        <v>436</v>
      </c>
      <c r="D26" s="8">
        <v>2</v>
      </c>
      <c r="E26" s="8">
        <v>3.12</v>
      </c>
      <c r="F26" s="8">
        <v>3.12</v>
      </c>
      <c r="G26" s="7" t="s">
        <v>420</v>
      </c>
      <c r="H26" s="52"/>
    </row>
    <row r="27" spans="1:8" ht="15" customHeight="1" x14ac:dyDescent="0.25">
      <c r="A27" s="8" t="s">
        <v>121</v>
      </c>
      <c r="B27" s="8" t="s">
        <v>447</v>
      </c>
      <c r="C27" s="8" t="s">
        <v>436</v>
      </c>
      <c r="D27" s="8">
        <v>2</v>
      </c>
      <c r="E27" s="8">
        <v>3.12</v>
      </c>
      <c r="F27" s="8">
        <v>3.12</v>
      </c>
      <c r="G27" s="7" t="s">
        <v>420</v>
      </c>
      <c r="H27" s="52"/>
    </row>
    <row r="28" spans="1:8" ht="15" customHeight="1" x14ac:dyDescent="0.25">
      <c r="A28" s="8" t="s">
        <v>122</v>
      </c>
      <c r="B28" s="8" t="s">
        <v>448</v>
      </c>
      <c r="C28" s="8" t="s">
        <v>436</v>
      </c>
      <c r="D28" s="8">
        <v>2</v>
      </c>
      <c r="E28" s="8">
        <v>3.12</v>
      </c>
      <c r="F28" s="8">
        <v>3.12</v>
      </c>
      <c r="G28" s="7" t="s">
        <v>420</v>
      </c>
      <c r="H28" s="52"/>
    </row>
    <row r="29" spans="1:8" ht="15" customHeight="1" x14ac:dyDescent="0.25">
      <c r="A29" s="8" t="s">
        <v>127</v>
      </c>
      <c r="B29" s="8" t="s">
        <v>449</v>
      </c>
      <c r="C29" s="8" t="s">
        <v>436</v>
      </c>
      <c r="D29" s="8">
        <v>2</v>
      </c>
      <c r="E29" s="8">
        <v>3.12</v>
      </c>
      <c r="F29" s="8">
        <v>3.12</v>
      </c>
      <c r="G29" s="7" t="s">
        <v>420</v>
      </c>
      <c r="H29" s="52"/>
    </row>
    <row r="30" spans="1:8" ht="15" customHeight="1" x14ac:dyDescent="0.25">
      <c r="A30" s="8" t="s">
        <v>32</v>
      </c>
      <c r="B30" s="8" t="s">
        <v>450</v>
      </c>
      <c r="C30" s="8" t="s">
        <v>436</v>
      </c>
      <c r="D30" s="8">
        <v>2</v>
      </c>
      <c r="E30" s="8">
        <v>3.12</v>
      </c>
      <c r="F30" s="8">
        <v>3.12</v>
      </c>
      <c r="G30" s="7" t="s">
        <v>420</v>
      </c>
      <c r="H30" s="52"/>
    </row>
    <row r="31" spans="1:8" ht="15" customHeight="1" x14ac:dyDescent="0.25">
      <c r="A31" s="8" t="s">
        <v>30</v>
      </c>
      <c r="B31" s="8" t="s">
        <v>451</v>
      </c>
      <c r="C31" s="8" t="s">
        <v>452</v>
      </c>
      <c r="D31" s="8">
        <v>2.5</v>
      </c>
      <c r="E31" s="8">
        <v>2.92</v>
      </c>
      <c r="F31" s="8">
        <v>2.92</v>
      </c>
      <c r="G31" s="7" t="s">
        <v>420</v>
      </c>
      <c r="H31" s="52"/>
    </row>
    <row r="32" spans="1:8" ht="15" customHeight="1" x14ac:dyDescent="0.25">
      <c r="A32" s="8" t="s">
        <v>101</v>
      </c>
      <c r="B32" s="8" t="s">
        <v>451</v>
      </c>
      <c r="C32" s="8" t="s">
        <v>452</v>
      </c>
      <c r="D32" s="8">
        <v>2.5</v>
      </c>
      <c r="E32" s="8">
        <v>2.92</v>
      </c>
      <c r="F32" s="8">
        <v>2.92</v>
      </c>
      <c r="G32" s="7" t="s">
        <v>420</v>
      </c>
      <c r="H32" s="52"/>
    </row>
    <row r="33" spans="1:8" ht="15" customHeight="1" x14ac:dyDescent="0.25">
      <c r="A33" s="8" t="s">
        <v>126</v>
      </c>
      <c r="B33" s="8" t="s">
        <v>453</v>
      </c>
      <c r="C33" s="8" t="s">
        <v>454</v>
      </c>
      <c r="D33" s="8">
        <v>2</v>
      </c>
      <c r="E33" s="8">
        <v>1.43</v>
      </c>
      <c r="F33" s="8">
        <v>2</v>
      </c>
      <c r="G33" s="7" t="s">
        <v>420</v>
      </c>
      <c r="H33" s="52"/>
    </row>
    <row r="34" spans="1:8" ht="15" customHeight="1" x14ac:dyDescent="0.25">
      <c r="A34" s="8" t="s">
        <v>95</v>
      </c>
      <c r="B34" s="8" t="s">
        <v>455</v>
      </c>
      <c r="C34" s="8" t="s">
        <v>456</v>
      </c>
      <c r="D34" s="8">
        <v>1.5</v>
      </c>
      <c r="E34" s="8">
        <v>1.98</v>
      </c>
      <c r="F34" s="8">
        <v>1.98</v>
      </c>
      <c r="G34" s="7" t="s">
        <v>420</v>
      </c>
      <c r="H34" s="52"/>
    </row>
    <row r="35" spans="1:8" ht="15" customHeight="1" x14ac:dyDescent="0.25">
      <c r="A35" s="8" t="s">
        <v>99</v>
      </c>
      <c r="B35" s="8" t="s">
        <v>455</v>
      </c>
      <c r="C35" s="8" t="s">
        <v>456</v>
      </c>
      <c r="D35" s="8">
        <v>1.5</v>
      </c>
      <c r="E35" s="8">
        <v>1.98</v>
      </c>
      <c r="F35" s="8">
        <v>1.98</v>
      </c>
      <c r="G35" s="7" t="s">
        <v>420</v>
      </c>
      <c r="H35" s="52"/>
    </row>
    <row r="36" spans="1:8" ht="15" customHeight="1" x14ac:dyDescent="0.25">
      <c r="A36" s="8" t="s">
        <v>44</v>
      </c>
      <c r="B36" s="8" t="s">
        <v>457</v>
      </c>
      <c r="C36" s="8" t="s">
        <v>456</v>
      </c>
      <c r="D36" s="8">
        <v>1.5</v>
      </c>
      <c r="E36" s="8">
        <v>1.98</v>
      </c>
      <c r="F36" s="8">
        <v>1.98</v>
      </c>
      <c r="G36" s="7" t="s">
        <v>420</v>
      </c>
      <c r="H36" s="52"/>
    </row>
    <row r="37" spans="1:8" ht="15" customHeight="1" x14ac:dyDescent="0.25">
      <c r="A37" s="8" t="s">
        <v>34</v>
      </c>
      <c r="B37" s="8" t="s">
        <v>458</v>
      </c>
      <c r="C37" s="8" t="s">
        <v>456</v>
      </c>
      <c r="D37" s="8">
        <v>1.5</v>
      </c>
      <c r="E37" s="8">
        <v>1.98</v>
      </c>
      <c r="F37" s="8">
        <v>1.98</v>
      </c>
      <c r="G37" s="7" t="s">
        <v>420</v>
      </c>
      <c r="H37" s="52"/>
    </row>
    <row r="38" spans="1:8" ht="15" customHeight="1" x14ac:dyDescent="0.25">
      <c r="A38" s="8" t="s">
        <v>104</v>
      </c>
      <c r="B38" s="8" t="s">
        <v>459</v>
      </c>
      <c r="C38" s="8" t="s">
        <v>456</v>
      </c>
      <c r="D38" s="8">
        <v>1.5</v>
      </c>
      <c r="E38" s="8">
        <v>1.98</v>
      </c>
      <c r="F38" s="8">
        <v>1.98</v>
      </c>
      <c r="G38" s="7" t="s">
        <v>420</v>
      </c>
      <c r="H38" s="52"/>
    </row>
    <row r="39" spans="1:8" ht="15" customHeight="1" x14ac:dyDescent="0.25">
      <c r="A39" s="8" t="s">
        <v>37</v>
      </c>
      <c r="B39" s="8" t="s">
        <v>460</v>
      </c>
      <c r="C39" s="8" t="s">
        <v>456</v>
      </c>
      <c r="D39" s="8">
        <v>1.5</v>
      </c>
      <c r="E39" s="8">
        <v>1.98</v>
      </c>
      <c r="F39" s="8">
        <v>1.98</v>
      </c>
      <c r="G39" s="7" t="s">
        <v>420</v>
      </c>
      <c r="H39" s="52"/>
    </row>
    <row r="40" spans="1:8" ht="15" customHeight="1" x14ac:dyDescent="0.25">
      <c r="A40" s="8" t="s">
        <v>47</v>
      </c>
      <c r="B40" s="8" t="s">
        <v>461</v>
      </c>
      <c r="C40" s="8" t="s">
        <v>456</v>
      </c>
      <c r="D40" s="8">
        <v>1.5</v>
      </c>
      <c r="E40" s="8">
        <v>1.98</v>
      </c>
      <c r="F40" s="8">
        <v>1.98</v>
      </c>
      <c r="G40" s="7" t="s">
        <v>420</v>
      </c>
      <c r="H40" s="52"/>
    </row>
    <row r="41" spans="1:8" ht="15" customHeight="1" x14ac:dyDescent="0.25">
      <c r="A41" s="8" t="s">
        <v>48</v>
      </c>
      <c r="B41" s="8" t="s">
        <v>462</v>
      </c>
      <c r="C41" s="8" t="s">
        <v>456</v>
      </c>
      <c r="D41" s="8">
        <v>1.5</v>
      </c>
      <c r="E41" s="8">
        <v>1.98</v>
      </c>
      <c r="F41" s="8">
        <v>1.98</v>
      </c>
      <c r="G41" s="7" t="s">
        <v>420</v>
      </c>
      <c r="H41" s="52"/>
    </row>
    <row r="42" spans="1:8" ht="15" customHeight="1" x14ac:dyDescent="0.25">
      <c r="A42" s="8" t="s">
        <v>105</v>
      </c>
      <c r="B42" s="8" t="s">
        <v>463</v>
      </c>
      <c r="C42" s="8" t="s">
        <v>456</v>
      </c>
      <c r="D42" s="8">
        <v>1.5</v>
      </c>
      <c r="E42" s="8">
        <v>1.98</v>
      </c>
      <c r="F42" s="8">
        <v>1.98</v>
      </c>
      <c r="G42" s="7" t="s">
        <v>420</v>
      </c>
      <c r="H42" s="52"/>
    </row>
    <row r="43" spans="1:8" ht="15" customHeight="1" x14ac:dyDescent="0.25">
      <c r="A43" s="8" t="s">
        <v>33</v>
      </c>
      <c r="B43" s="8" t="s">
        <v>464</v>
      </c>
      <c r="C43" s="8" t="s">
        <v>456</v>
      </c>
      <c r="D43" s="8">
        <v>1.5</v>
      </c>
      <c r="E43" s="8">
        <v>1.98</v>
      </c>
      <c r="F43" s="8">
        <v>1.98</v>
      </c>
      <c r="G43" s="7" t="s">
        <v>420</v>
      </c>
      <c r="H43" s="52"/>
    </row>
    <row r="44" spans="1:8" ht="15" customHeight="1" x14ac:dyDescent="0.25">
      <c r="A44" s="8" t="s">
        <v>45</v>
      </c>
      <c r="B44" s="8" t="s">
        <v>465</v>
      </c>
      <c r="C44" s="8" t="s">
        <v>456</v>
      </c>
      <c r="D44" s="8">
        <v>1.5</v>
      </c>
      <c r="E44" s="8">
        <v>1.98</v>
      </c>
      <c r="F44" s="8">
        <v>1.98</v>
      </c>
      <c r="G44" s="7" t="s">
        <v>420</v>
      </c>
      <c r="H44" s="52"/>
    </row>
    <row r="45" spans="1:8" ht="15" customHeight="1" x14ac:dyDescent="0.25">
      <c r="A45" s="8" t="s">
        <v>49</v>
      </c>
      <c r="B45" s="8" t="s">
        <v>466</v>
      </c>
      <c r="C45" s="8" t="s">
        <v>456</v>
      </c>
      <c r="D45" s="8">
        <v>1.5</v>
      </c>
      <c r="E45" s="8">
        <v>1.98</v>
      </c>
      <c r="F45" s="8">
        <v>1.98</v>
      </c>
      <c r="G45" s="7" t="s">
        <v>420</v>
      </c>
      <c r="H45" s="52"/>
    </row>
    <row r="46" spans="1:8" ht="15" customHeight="1" x14ac:dyDescent="0.25">
      <c r="A46" s="8" t="s">
        <v>31</v>
      </c>
      <c r="B46" s="8" t="s">
        <v>467</v>
      </c>
      <c r="C46" s="8" t="s">
        <v>456</v>
      </c>
      <c r="D46" s="8">
        <v>1.5</v>
      </c>
      <c r="E46" s="8">
        <v>1.98</v>
      </c>
      <c r="F46" s="8">
        <v>1.98</v>
      </c>
      <c r="G46" s="7" t="s">
        <v>420</v>
      </c>
      <c r="H46" s="52"/>
    </row>
    <row r="47" spans="1:8" ht="15" customHeight="1" x14ac:dyDescent="0.25">
      <c r="A47" s="8" t="s">
        <v>106</v>
      </c>
      <c r="B47" s="8" t="s">
        <v>468</v>
      </c>
      <c r="C47" s="8" t="s">
        <v>456</v>
      </c>
      <c r="D47" s="8">
        <v>1.5</v>
      </c>
      <c r="E47" s="8">
        <v>1.98</v>
      </c>
      <c r="F47" s="8">
        <v>1.98</v>
      </c>
      <c r="G47" s="7" t="s">
        <v>420</v>
      </c>
      <c r="H47" s="52"/>
    </row>
    <row r="48" spans="1:8" ht="15" customHeight="1" x14ac:dyDescent="0.25">
      <c r="A48" s="8" t="s">
        <v>118</v>
      </c>
      <c r="B48" s="8" t="s">
        <v>469</v>
      </c>
      <c r="C48" s="8" t="s">
        <v>456</v>
      </c>
      <c r="D48" s="8">
        <v>1.5</v>
      </c>
      <c r="E48" s="8">
        <v>1.98</v>
      </c>
      <c r="F48" s="8">
        <v>1.98</v>
      </c>
      <c r="G48" s="7" t="s">
        <v>420</v>
      </c>
      <c r="H48" s="52"/>
    </row>
    <row r="49" spans="1:8" ht="15" customHeight="1" x14ac:dyDescent="0.25">
      <c r="A49" s="8" t="s">
        <v>119</v>
      </c>
      <c r="B49" s="8" t="s">
        <v>470</v>
      </c>
      <c r="C49" s="8" t="s">
        <v>456</v>
      </c>
      <c r="D49" s="8">
        <v>1.5</v>
      </c>
      <c r="E49" s="8">
        <v>1.98</v>
      </c>
      <c r="F49" s="8">
        <v>1.98</v>
      </c>
      <c r="G49" s="7" t="s">
        <v>420</v>
      </c>
      <c r="H49" s="52"/>
    </row>
    <row r="50" spans="1:8" ht="26.25" customHeight="1" x14ac:dyDescent="0.25">
      <c r="A50" s="8" t="s">
        <v>35</v>
      </c>
      <c r="B50" s="8" t="s">
        <v>471</v>
      </c>
      <c r="C50" s="8" t="s">
        <v>472</v>
      </c>
      <c r="D50" s="8">
        <v>1</v>
      </c>
      <c r="E50" s="8">
        <v>0.87</v>
      </c>
      <c r="F50" s="8">
        <v>1</v>
      </c>
      <c r="G50" s="7" t="s">
        <v>420</v>
      </c>
      <c r="H50" s="52" t="s">
        <v>473</v>
      </c>
    </row>
    <row r="51" spans="1:8" ht="26.25" customHeight="1" x14ac:dyDescent="0.25">
      <c r="A51" s="8" t="s">
        <v>150</v>
      </c>
      <c r="B51" s="8" t="s">
        <v>474</v>
      </c>
      <c r="C51" s="8" t="s">
        <v>475</v>
      </c>
      <c r="D51" s="8">
        <v>6</v>
      </c>
      <c r="E51" s="8">
        <v>17.64</v>
      </c>
      <c r="F51" s="8">
        <v>17.64</v>
      </c>
      <c r="G51" s="9" t="s">
        <v>476</v>
      </c>
      <c r="H51" s="52" t="s">
        <v>477</v>
      </c>
    </row>
    <row r="52" spans="1:8" ht="26.25" customHeight="1" x14ac:dyDescent="0.25">
      <c r="A52" s="8" t="s">
        <v>151</v>
      </c>
      <c r="B52" s="8" t="s">
        <v>478</v>
      </c>
      <c r="C52" s="8" t="s">
        <v>475</v>
      </c>
      <c r="D52" s="8">
        <v>6</v>
      </c>
      <c r="E52" s="8">
        <v>17.64</v>
      </c>
      <c r="F52" s="8">
        <v>17.64</v>
      </c>
      <c r="G52" s="9" t="s">
        <v>476</v>
      </c>
      <c r="H52" s="52" t="s">
        <v>477</v>
      </c>
    </row>
    <row r="53" spans="1:8" ht="26.25" customHeight="1" x14ac:dyDescent="0.25">
      <c r="A53" s="8" t="s">
        <v>152</v>
      </c>
      <c r="B53" s="8" t="s">
        <v>479</v>
      </c>
      <c r="C53" s="8" t="s">
        <v>475</v>
      </c>
      <c r="D53" s="8">
        <v>6</v>
      </c>
      <c r="E53" s="8">
        <v>17.64</v>
      </c>
      <c r="F53" s="8">
        <v>17.64</v>
      </c>
      <c r="G53" s="9" t="s">
        <v>476</v>
      </c>
      <c r="H53" s="52" t="s">
        <v>477</v>
      </c>
    </row>
    <row r="54" spans="1:8" ht="26.25" customHeight="1" x14ac:dyDescent="0.25">
      <c r="A54" s="8" t="s">
        <v>153</v>
      </c>
      <c r="B54" s="8" t="s">
        <v>480</v>
      </c>
      <c r="C54" s="8" t="s">
        <v>475</v>
      </c>
      <c r="D54" s="8">
        <v>6</v>
      </c>
      <c r="E54" s="8">
        <v>17.64</v>
      </c>
      <c r="F54" s="8">
        <v>17.64</v>
      </c>
      <c r="G54" s="9" t="s">
        <v>476</v>
      </c>
      <c r="H54" s="52" t="s">
        <v>477</v>
      </c>
    </row>
    <row r="55" spans="1:8" ht="26.25" customHeight="1" x14ac:dyDescent="0.25">
      <c r="A55" s="8" t="s">
        <v>158</v>
      </c>
      <c r="B55" s="8" t="s">
        <v>481</v>
      </c>
      <c r="C55" s="8" t="s">
        <v>475</v>
      </c>
      <c r="D55" s="8">
        <v>6</v>
      </c>
      <c r="E55" s="8">
        <v>17.64</v>
      </c>
      <c r="F55" s="8">
        <v>17.64</v>
      </c>
      <c r="G55" s="9" t="s">
        <v>476</v>
      </c>
      <c r="H55" s="52" t="s">
        <v>477</v>
      </c>
    </row>
    <row r="56" spans="1:8" ht="26.25" customHeight="1" x14ac:dyDescent="0.25">
      <c r="A56" s="8" t="s">
        <v>159</v>
      </c>
      <c r="B56" s="8" t="s">
        <v>482</v>
      </c>
      <c r="C56" s="8" t="s">
        <v>475</v>
      </c>
      <c r="D56" s="8">
        <v>6</v>
      </c>
      <c r="E56" s="8">
        <v>17.64</v>
      </c>
      <c r="F56" s="8">
        <v>17.64</v>
      </c>
      <c r="G56" s="9" t="s">
        <v>476</v>
      </c>
      <c r="H56" s="52" t="s">
        <v>477</v>
      </c>
    </row>
    <row r="57" spans="1:8" ht="26.25" customHeight="1" x14ac:dyDescent="0.25">
      <c r="A57" s="8" t="s">
        <v>58</v>
      </c>
      <c r="B57" s="8" t="s">
        <v>483</v>
      </c>
      <c r="C57" s="8" t="s">
        <v>475</v>
      </c>
      <c r="D57" s="8">
        <v>6</v>
      </c>
      <c r="E57" s="8">
        <v>17.64</v>
      </c>
      <c r="F57" s="8">
        <v>17.64</v>
      </c>
      <c r="G57" s="9" t="s">
        <v>476</v>
      </c>
      <c r="H57" s="52" t="s">
        <v>477</v>
      </c>
    </row>
    <row r="58" spans="1:8" ht="26.25" customHeight="1" x14ac:dyDescent="0.25">
      <c r="A58" s="8" t="s">
        <v>160</v>
      </c>
      <c r="B58" s="8" t="s">
        <v>484</v>
      </c>
      <c r="C58" s="8" t="s">
        <v>475</v>
      </c>
      <c r="D58" s="8">
        <v>6</v>
      </c>
      <c r="E58" s="8">
        <v>17.64</v>
      </c>
      <c r="F58" s="8">
        <v>17.64</v>
      </c>
      <c r="G58" s="9" t="s">
        <v>476</v>
      </c>
      <c r="H58" s="52" t="s">
        <v>477</v>
      </c>
    </row>
    <row r="59" spans="1:8" ht="26.25" customHeight="1" x14ac:dyDescent="0.25">
      <c r="A59" s="8" t="s">
        <v>60</v>
      </c>
      <c r="B59" s="8" t="s">
        <v>485</v>
      </c>
      <c r="C59" s="8" t="s">
        <v>475</v>
      </c>
      <c r="D59" s="8">
        <v>6</v>
      </c>
      <c r="E59" s="8">
        <v>17.64</v>
      </c>
      <c r="F59" s="8">
        <v>17.64</v>
      </c>
      <c r="G59" s="9" t="s">
        <v>476</v>
      </c>
      <c r="H59" s="52" t="s">
        <v>477</v>
      </c>
    </row>
    <row r="60" spans="1:8" ht="26.25" customHeight="1" x14ac:dyDescent="0.25">
      <c r="A60" s="8" t="s">
        <v>186</v>
      </c>
      <c r="B60" s="8" t="s">
        <v>486</v>
      </c>
      <c r="C60" s="8" t="s">
        <v>487</v>
      </c>
      <c r="D60" s="8">
        <v>5</v>
      </c>
      <c r="E60" s="8">
        <v>16.88</v>
      </c>
      <c r="F60" s="8">
        <v>16.88</v>
      </c>
      <c r="G60" s="9" t="s">
        <v>476</v>
      </c>
      <c r="H60" s="52" t="s">
        <v>488</v>
      </c>
    </row>
    <row r="61" spans="1:8" ht="15" customHeight="1" x14ac:dyDescent="0.25">
      <c r="A61" s="8" t="s">
        <v>149</v>
      </c>
      <c r="B61" s="8" t="s">
        <v>489</v>
      </c>
      <c r="C61" s="8" t="s">
        <v>490</v>
      </c>
      <c r="D61" s="8">
        <v>6.5</v>
      </c>
      <c r="E61" s="8">
        <v>12.57</v>
      </c>
      <c r="F61" s="8">
        <v>12.57</v>
      </c>
      <c r="G61" s="9" t="s">
        <v>476</v>
      </c>
      <c r="H61" s="52"/>
    </row>
    <row r="62" spans="1:8" ht="15" customHeight="1" x14ac:dyDescent="0.25">
      <c r="A62" s="8" t="s">
        <v>170</v>
      </c>
      <c r="B62" s="8" t="s">
        <v>491</v>
      </c>
      <c r="C62" s="8" t="s">
        <v>492</v>
      </c>
      <c r="D62" s="8">
        <v>7</v>
      </c>
      <c r="E62" s="8">
        <v>11.53</v>
      </c>
      <c r="F62" s="8">
        <v>11.53</v>
      </c>
      <c r="G62" s="9" t="s">
        <v>476</v>
      </c>
      <c r="H62" s="52"/>
    </row>
    <row r="63" spans="1:8" ht="15" customHeight="1" x14ac:dyDescent="0.25">
      <c r="A63" s="8" t="s">
        <v>171</v>
      </c>
      <c r="B63" s="8" t="s">
        <v>493</v>
      </c>
      <c r="C63" s="8" t="s">
        <v>492</v>
      </c>
      <c r="D63" s="8">
        <v>7</v>
      </c>
      <c r="E63" s="8">
        <v>11.53</v>
      </c>
      <c r="F63" s="8">
        <v>11.53</v>
      </c>
      <c r="G63" s="9" t="s">
        <v>476</v>
      </c>
      <c r="H63" s="52"/>
    </row>
    <row r="64" spans="1:8" ht="15" customHeight="1" x14ac:dyDescent="0.25">
      <c r="A64" s="8" t="s">
        <v>146</v>
      </c>
      <c r="B64" s="8" t="s">
        <v>494</v>
      </c>
      <c r="C64" s="8" t="s">
        <v>495</v>
      </c>
      <c r="D64" s="8">
        <v>6</v>
      </c>
      <c r="E64" s="8">
        <v>11.21</v>
      </c>
      <c r="F64" s="8">
        <v>11.21</v>
      </c>
      <c r="G64" s="9" t="s">
        <v>476</v>
      </c>
      <c r="H64" s="52"/>
    </row>
    <row r="65" spans="1:8" ht="15" customHeight="1" x14ac:dyDescent="0.25">
      <c r="A65" s="8" t="s">
        <v>147</v>
      </c>
      <c r="B65" s="8" t="s">
        <v>496</v>
      </c>
      <c r="C65" s="8" t="s">
        <v>495</v>
      </c>
      <c r="D65" s="8">
        <v>6</v>
      </c>
      <c r="E65" s="8">
        <v>11.21</v>
      </c>
      <c r="F65" s="8">
        <v>11.21</v>
      </c>
      <c r="G65" s="9" t="s">
        <v>476</v>
      </c>
      <c r="H65" s="52"/>
    </row>
    <row r="66" spans="1:8" ht="15" customHeight="1" x14ac:dyDescent="0.25">
      <c r="A66" s="8" t="s">
        <v>148</v>
      </c>
      <c r="B66" s="8" t="s">
        <v>497</v>
      </c>
      <c r="C66" s="8" t="s">
        <v>495</v>
      </c>
      <c r="D66" s="8">
        <v>6</v>
      </c>
      <c r="E66" s="8">
        <v>11.21</v>
      </c>
      <c r="F66" s="8">
        <v>11.21</v>
      </c>
      <c r="G66" s="9" t="s">
        <v>476</v>
      </c>
      <c r="H66" s="52"/>
    </row>
    <row r="67" spans="1:8" ht="15" customHeight="1" x14ac:dyDescent="0.25">
      <c r="A67" s="8" t="s">
        <v>57</v>
      </c>
      <c r="B67" s="8" t="s">
        <v>498</v>
      </c>
      <c r="C67" s="8" t="s">
        <v>495</v>
      </c>
      <c r="D67" s="8">
        <v>6</v>
      </c>
      <c r="E67" s="8">
        <v>11.21</v>
      </c>
      <c r="F67" s="8">
        <v>11.21</v>
      </c>
      <c r="G67" s="9" t="s">
        <v>476</v>
      </c>
      <c r="H67" s="52"/>
    </row>
    <row r="68" spans="1:8" ht="15" customHeight="1" x14ac:dyDescent="0.25">
      <c r="A68" s="8" t="s">
        <v>56</v>
      </c>
      <c r="B68" s="8" t="s">
        <v>499</v>
      </c>
      <c r="C68" s="8" t="s">
        <v>495</v>
      </c>
      <c r="D68" s="8">
        <v>6</v>
      </c>
      <c r="E68" s="8">
        <v>11.21</v>
      </c>
      <c r="F68" s="8">
        <v>11.21</v>
      </c>
      <c r="G68" s="9" t="s">
        <v>476</v>
      </c>
      <c r="H68" s="52"/>
    </row>
    <row r="69" spans="1:8" ht="15" customHeight="1" x14ac:dyDescent="0.25">
      <c r="A69" s="8" t="s">
        <v>164</v>
      </c>
      <c r="B69" s="8" t="s">
        <v>500</v>
      </c>
      <c r="C69" s="8" t="s">
        <v>495</v>
      </c>
      <c r="D69" s="8">
        <v>6</v>
      </c>
      <c r="E69" s="8">
        <v>11.21</v>
      </c>
      <c r="F69" s="8">
        <v>11.21</v>
      </c>
      <c r="G69" s="9" t="s">
        <v>476</v>
      </c>
      <c r="H69" s="52"/>
    </row>
    <row r="70" spans="1:8" ht="15" customHeight="1" x14ac:dyDescent="0.25">
      <c r="A70" s="8" t="s">
        <v>129</v>
      </c>
      <c r="B70" s="8" t="s">
        <v>501</v>
      </c>
      <c r="C70" s="8" t="s">
        <v>502</v>
      </c>
      <c r="D70" s="8">
        <v>8</v>
      </c>
      <c r="E70" s="8">
        <v>9.83</v>
      </c>
      <c r="F70" s="8">
        <v>9.83</v>
      </c>
      <c r="G70" s="9" t="s">
        <v>476</v>
      </c>
      <c r="H70" s="52"/>
    </row>
    <row r="71" spans="1:8" ht="15" customHeight="1" x14ac:dyDescent="0.25">
      <c r="A71" s="8" t="s">
        <v>141</v>
      </c>
      <c r="B71" s="8" t="s">
        <v>503</v>
      </c>
      <c r="C71" s="8" t="s">
        <v>504</v>
      </c>
      <c r="D71" s="8">
        <v>5</v>
      </c>
      <c r="E71" s="8">
        <v>9.61</v>
      </c>
      <c r="F71" s="8">
        <v>9.61</v>
      </c>
      <c r="G71" s="9" t="s">
        <v>476</v>
      </c>
      <c r="H71" s="52"/>
    </row>
    <row r="72" spans="1:8" ht="15" customHeight="1" x14ac:dyDescent="0.25">
      <c r="A72" s="8" t="s">
        <v>142</v>
      </c>
      <c r="B72" s="8" t="s">
        <v>505</v>
      </c>
      <c r="C72" s="8" t="s">
        <v>504</v>
      </c>
      <c r="D72" s="8">
        <v>5</v>
      </c>
      <c r="E72" s="8">
        <v>9.61</v>
      </c>
      <c r="F72" s="8">
        <v>9.61</v>
      </c>
      <c r="G72" s="9" t="s">
        <v>476</v>
      </c>
      <c r="H72" s="52"/>
    </row>
    <row r="73" spans="1:8" ht="15" customHeight="1" x14ac:dyDescent="0.25">
      <c r="A73" s="8" t="s">
        <v>143</v>
      </c>
      <c r="B73" s="8" t="s">
        <v>506</v>
      </c>
      <c r="C73" s="8" t="s">
        <v>504</v>
      </c>
      <c r="D73" s="8">
        <v>5</v>
      </c>
      <c r="E73" s="8">
        <v>9.61</v>
      </c>
      <c r="F73" s="8">
        <v>9.61</v>
      </c>
      <c r="G73" s="9" t="s">
        <v>476</v>
      </c>
      <c r="H73" s="52"/>
    </row>
    <row r="74" spans="1:8" ht="15" customHeight="1" x14ac:dyDescent="0.25">
      <c r="A74" s="8" t="s">
        <v>144</v>
      </c>
      <c r="B74" s="8" t="s">
        <v>507</v>
      </c>
      <c r="C74" s="8" t="s">
        <v>504</v>
      </c>
      <c r="D74" s="8">
        <v>5</v>
      </c>
      <c r="E74" s="8">
        <v>9.61</v>
      </c>
      <c r="F74" s="8">
        <v>9.61</v>
      </c>
      <c r="G74" s="9" t="s">
        <v>476</v>
      </c>
      <c r="H74" s="52"/>
    </row>
    <row r="75" spans="1:8" ht="15" customHeight="1" x14ac:dyDescent="0.25">
      <c r="A75" s="8" t="s">
        <v>145</v>
      </c>
      <c r="B75" s="8" t="s">
        <v>508</v>
      </c>
      <c r="C75" s="8" t="s">
        <v>504</v>
      </c>
      <c r="D75" s="8">
        <v>5</v>
      </c>
      <c r="E75" s="8">
        <v>9.61</v>
      </c>
      <c r="F75" s="8">
        <v>9.61</v>
      </c>
      <c r="G75" s="9" t="s">
        <v>476</v>
      </c>
      <c r="H75" s="52"/>
    </row>
    <row r="76" spans="1:8" ht="15" customHeight="1" x14ac:dyDescent="0.25">
      <c r="A76" s="8" t="s">
        <v>155</v>
      </c>
      <c r="B76" s="8" t="s">
        <v>509</v>
      </c>
      <c r="C76" s="8" t="s">
        <v>504</v>
      </c>
      <c r="D76" s="8">
        <v>5</v>
      </c>
      <c r="E76" s="8">
        <v>9.61</v>
      </c>
      <c r="F76" s="8">
        <v>9.61</v>
      </c>
      <c r="G76" s="9" t="s">
        <v>476</v>
      </c>
      <c r="H76" s="52"/>
    </row>
    <row r="77" spans="1:8" ht="15" customHeight="1" x14ac:dyDescent="0.25">
      <c r="A77" s="8" t="s">
        <v>156</v>
      </c>
      <c r="B77" s="8" t="s">
        <v>510</v>
      </c>
      <c r="C77" s="8" t="s">
        <v>504</v>
      </c>
      <c r="D77" s="8">
        <v>5</v>
      </c>
      <c r="E77" s="8">
        <v>9.61</v>
      </c>
      <c r="F77" s="8">
        <v>9.61</v>
      </c>
      <c r="G77" s="9" t="s">
        <v>476</v>
      </c>
      <c r="H77" s="52"/>
    </row>
    <row r="78" spans="1:8" ht="15" customHeight="1" x14ac:dyDescent="0.25">
      <c r="A78" s="8" t="s">
        <v>52</v>
      </c>
      <c r="B78" s="8" t="s">
        <v>511</v>
      </c>
      <c r="C78" s="8" t="s">
        <v>504</v>
      </c>
      <c r="D78" s="8">
        <v>5</v>
      </c>
      <c r="E78" s="8">
        <v>9.61</v>
      </c>
      <c r="F78" s="8">
        <v>9.61</v>
      </c>
      <c r="G78" s="9" t="s">
        <v>476</v>
      </c>
      <c r="H78" s="52"/>
    </row>
    <row r="79" spans="1:8" ht="15" customHeight="1" x14ac:dyDescent="0.25">
      <c r="A79" s="8" t="s">
        <v>157</v>
      </c>
      <c r="B79" s="8" t="s">
        <v>512</v>
      </c>
      <c r="C79" s="8" t="s">
        <v>504</v>
      </c>
      <c r="D79" s="8">
        <v>5</v>
      </c>
      <c r="E79" s="8">
        <v>9.61</v>
      </c>
      <c r="F79" s="8">
        <v>9.61</v>
      </c>
      <c r="G79" s="9" t="s">
        <v>476</v>
      </c>
      <c r="H79" s="52"/>
    </row>
    <row r="80" spans="1:8" ht="15" customHeight="1" x14ac:dyDescent="0.25">
      <c r="A80" s="8" t="s">
        <v>163</v>
      </c>
      <c r="B80" s="8" t="s">
        <v>513</v>
      </c>
      <c r="C80" s="8" t="s">
        <v>504</v>
      </c>
      <c r="D80" s="8">
        <v>5</v>
      </c>
      <c r="E80" s="8">
        <v>9.61</v>
      </c>
      <c r="F80" s="8">
        <v>9.61</v>
      </c>
      <c r="G80" s="9" t="s">
        <v>476</v>
      </c>
      <c r="H80" s="52"/>
    </row>
    <row r="81" spans="1:8" ht="15" customHeight="1" x14ac:dyDescent="0.25">
      <c r="A81" s="8" t="s">
        <v>165</v>
      </c>
      <c r="B81" s="8" t="s">
        <v>514</v>
      </c>
      <c r="C81" s="8" t="s">
        <v>504</v>
      </c>
      <c r="D81" s="8">
        <v>5</v>
      </c>
      <c r="E81" s="8">
        <v>9.61</v>
      </c>
      <c r="F81" s="8">
        <v>9.61</v>
      </c>
      <c r="G81" s="9" t="s">
        <v>476</v>
      </c>
      <c r="H81" s="52"/>
    </row>
    <row r="82" spans="1:8" ht="15" customHeight="1" x14ac:dyDescent="0.25">
      <c r="A82" s="8" t="s">
        <v>53</v>
      </c>
      <c r="B82" s="8" t="s">
        <v>515</v>
      </c>
      <c r="C82" s="8" t="s">
        <v>504</v>
      </c>
      <c r="D82" s="8">
        <v>5</v>
      </c>
      <c r="E82" s="8">
        <v>9.61</v>
      </c>
      <c r="F82" s="8">
        <v>9.61</v>
      </c>
      <c r="G82" s="9" t="s">
        <v>476</v>
      </c>
      <c r="H82" s="52"/>
    </row>
    <row r="83" spans="1:8" ht="15" customHeight="1" x14ac:dyDescent="0.25">
      <c r="A83" s="8" t="s">
        <v>169</v>
      </c>
      <c r="B83" s="8" t="s">
        <v>516</v>
      </c>
      <c r="C83" s="8" t="s">
        <v>504</v>
      </c>
      <c r="D83" s="8">
        <v>5</v>
      </c>
      <c r="E83" s="8">
        <v>9.61</v>
      </c>
      <c r="F83" s="8">
        <v>9.61</v>
      </c>
      <c r="G83" s="9" t="s">
        <v>476</v>
      </c>
      <c r="H83" s="52"/>
    </row>
    <row r="84" spans="1:8" ht="15" customHeight="1" x14ac:dyDescent="0.25">
      <c r="A84" s="8" t="s">
        <v>131</v>
      </c>
      <c r="B84" s="8" t="s">
        <v>517</v>
      </c>
      <c r="C84" s="8" t="s">
        <v>518</v>
      </c>
      <c r="D84" s="8">
        <v>4</v>
      </c>
      <c r="E84" s="8">
        <v>7.29</v>
      </c>
      <c r="F84" s="8">
        <v>7.29</v>
      </c>
      <c r="G84" s="9" t="s">
        <v>476</v>
      </c>
      <c r="H84" s="52"/>
    </row>
    <row r="85" spans="1:8" ht="15" customHeight="1" x14ac:dyDescent="0.25">
      <c r="A85" s="8" t="s">
        <v>132</v>
      </c>
      <c r="B85" s="8" t="s">
        <v>519</v>
      </c>
      <c r="C85" s="8" t="s">
        <v>518</v>
      </c>
      <c r="D85" s="8">
        <v>4</v>
      </c>
      <c r="E85" s="8">
        <v>7.29</v>
      </c>
      <c r="F85" s="8">
        <v>7.29</v>
      </c>
      <c r="G85" s="9" t="s">
        <v>476</v>
      </c>
      <c r="H85" s="52"/>
    </row>
    <row r="86" spans="1:8" ht="15" customHeight="1" x14ac:dyDescent="0.25">
      <c r="A86" s="8" t="s">
        <v>133</v>
      </c>
      <c r="B86" s="8" t="s">
        <v>520</v>
      </c>
      <c r="C86" s="8" t="s">
        <v>518</v>
      </c>
      <c r="D86" s="8">
        <v>4</v>
      </c>
      <c r="E86" s="8">
        <v>7.29</v>
      </c>
      <c r="F86" s="8">
        <v>7.29</v>
      </c>
      <c r="G86" s="9" t="s">
        <v>476</v>
      </c>
      <c r="H86" s="52"/>
    </row>
    <row r="87" spans="1:8" ht="15" customHeight="1" x14ac:dyDescent="0.25">
      <c r="A87" s="8" t="s">
        <v>134</v>
      </c>
      <c r="B87" s="8" t="s">
        <v>521</v>
      </c>
      <c r="C87" s="8" t="s">
        <v>518</v>
      </c>
      <c r="D87" s="8">
        <v>4</v>
      </c>
      <c r="E87" s="8">
        <v>7.29</v>
      </c>
      <c r="F87" s="8">
        <v>7.29</v>
      </c>
      <c r="G87" s="9" t="s">
        <v>476</v>
      </c>
      <c r="H87" s="52"/>
    </row>
    <row r="88" spans="1:8" ht="15" customHeight="1" x14ac:dyDescent="0.25">
      <c r="A88" s="8" t="s">
        <v>135</v>
      </c>
      <c r="B88" s="8" t="s">
        <v>522</v>
      </c>
      <c r="C88" s="8" t="s">
        <v>518</v>
      </c>
      <c r="D88" s="8">
        <v>4</v>
      </c>
      <c r="E88" s="8">
        <v>7.29</v>
      </c>
      <c r="F88" s="8">
        <v>7.29</v>
      </c>
      <c r="G88" s="9" t="s">
        <v>476</v>
      </c>
      <c r="H88" s="52"/>
    </row>
    <row r="89" spans="1:8" ht="15" customHeight="1" x14ac:dyDescent="0.25">
      <c r="A89" s="8" t="s">
        <v>136</v>
      </c>
      <c r="B89" s="8" t="s">
        <v>523</v>
      </c>
      <c r="C89" s="8" t="s">
        <v>518</v>
      </c>
      <c r="D89" s="8">
        <v>4</v>
      </c>
      <c r="E89" s="8">
        <v>7.29</v>
      </c>
      <c r="F89" s="8">
        <v>7.29</v>
      </c>
      <c r="G89" s="9" t="s">
        <v>476</v>
      </c>
      <c r="H89" s="52"/>
    </row>
    <row r="90" spans="1:8" ht="15" customHeight="1" x14ac:dyDescent="0.25">
      <c r="A90" s="8" t="s">
        <v>137</v>
      </c>
      <c r="B90" s="8" t="s">
        <v>524</v>
      </c>
      <c r="C90" s="8" t="s">
        <v>518</v>
      </c>
      <c r="D90" s="8">
        <v>4</v>
      </c>
      <c r="E90" s="8">
        <v>7.29</v>
      </c>
      <c r="F90" s="8">
        <v>7.29</v>
      </c>
      <c r="G90" s="9" t="s">
        <v>476</v>
      </c>
      <c r="H90" s="52"/>
    </row>
    <row r="91" spans="1:8" ht="15" customHeight="1" x14ac:dyDescent="0.25">
      <c r="A91" s="8" t="s">
        <v>138</v>
      </c>
      <c r="B91" s="8" t="s">
        <v>525</v>
      </c>
      <c r="C91" s="8" t="s">
        <v>518</v>
      </c>
      <c r="D91" s="8">
        <v>4</v>
      </c>
      <c r="E91" s="8">
        <v>7.29</v>
      </c>
      <c r="F91" s="8">
        <v>7.29</v>
      </c>
      <c r="G91" s="9" t="s">
        <v>476</v>
      </c>
      <c r="H91" s="52"/>
    </row>
    <row r="92" spans="1:8" ht="15" customHeight="1" x14ac:dyDescent="0.25">
      <c r="A92" s="8" t="s">
        <v>51</v>
      </c>
      <c r="B92" s="8" t="s">
        <v>526</v>
      </c>
      <c r="C92" s="8" t="s">
        <v>518</v>
      </c>
      <c r="D92" s="8">
        <v>4</v>
      </c>
      <c r="E92" s="8">
        <v>7.29</v>
      </c>
      <c r="F92" s="8">
        <v>7.29</v>
      </c>
      <c r="G92" s="9" t="s">
        <v>476</v>
      </c>
      <c r="H92" s="52"/>
    </row>
    <row r="93" spans="1:8" ht="15" customHeight="1" x14ac:dyDescent="0.25">
      <c r="A93" s="8" t="s">
        <v>161</v>
      </c>
      <c r="B93" s="8" t="s">
        <v>527</v>
      </c>
      <c r="C93" s="8" t="s">
        <v>518</v>
      </c>
      <c r="D93" s="8">
        <v>4</v>
      </c>
      <c r="E93" s="8">
        <v>7.29</v>
      </c>
      <c r="F93" s="8">
        <v>7.29</v>
      </c>
      <c r="G93" s="9" t="s">
        <v>476</v>
      </c>
      <c r="H93" s="52"/>
    </row>
    <row r="94" spans="1:8" ht="15" customHeight="1" x14ac:dyDescent="0.25">
      <c r="A94" s="8" t="s">
        <v>162</v>
      </c>
      <c r="B94" s="8" t="s">
        <v>528</v>
      </c>
      <c r="C94" s="8" t="s">
        <v>518</v>
      </c>
      <c r="D94" s="8">
        <v>4</v>
      </c>
      <c r="E94" s="8">
        <v>7.29</v>
      </c>
      <c r="F94" s="8">
        <v>7.29</v>
      </c>
      <c r="G94" s="9" t="s">
        <v>476</v>
      </c>
      <c r="H94" s="52"/>
    </row>
    <row r="95" spans="1:8" ht="15" customHeight="1" x14ac:dyDescent="0.25">
      <c r="A95" s="8" t="s">
        <v>167</v>
      </c>
      <c r="B95" s="8" t="s">
        <v>529</v>
      </c>
      <c r="C95" s="8" t="s">
        <v>518</v>
      </c>
      <c r="D95" s="8">
        <v>4</v>
      </c>
      <c r="E95" s="8">
        <v>7.29</v>
      </c>
      <c r="F95" s="8">
        <v>7.29</v>
      </c>
      <c r="G95" s="9" t="s">
        <v>476</v>
      </c>
      <c r="H95" s="52"/>
    </row>
    <row r="96" spans="1:8" ht="15" customHeight="1" x14ac:dyDescent="0.25">
      <c r="A96" s="8" t="s">
        <v>168</v>
      </c>
      <c r="B96" s="8" t="s">
        <v>530</v>
      </c>
      <c r="C96" s="8" t="s">
        <v>518</v>
      </c>
      <c r="D96" s="8">
        <v>4</v>
      </c>
      <c r="E96" s="8">
        <v>7.29</v>
      </c>
      <c r="F96" s="8">
        <v>7.29</v>
      </c>
      <c r="G96" s="9" t="s">
        <v>476</v>
      </c>
      <c r="H96" s="52"/>
    </row>
    <row r="97" spans="1:8" ht="15" customHeight="1" x14ac:dyDescent="0.25">
      <c r="A97" s="8" t="s">
        <v>139</v>
      </c>
      <c r="B97" s="8" t="s">
        <v>531</v>
      </c>
      <c r="C97" s="8" t="s">
        <v>532</v>
      </c>
      <c r="D97" s="8">
        <v>4</v>
      </c>
      <c r="E97" s="8">
        <v>6.41</v>
      </c>
      <c r="F97" s="8">
        <v>6.41</v>
      </c>
      <c r="G97" s="9" t="s">
        <v>476</v>
      </c>
      <c r="H97" s="52"/>
    </row>
    <row r="98" spans="1:8" ht="15" customHeight="1" x14ac:dyDescent="0.25">
      <c r="A98" s="8" t="s">
        <v>140</v>
      </c>
      <c r="B98" s="8" t="s">
        <v>533</v>
      </c>
      <c r="C98" s="8" t="s">
        <v>532</v>
      </c>
      <c r="D98" s="8">
        <v>4</v>
      </c>
      <c r="E98" s="8">
        <v>6.41</v>
      </c>
      <c r="F98" s="8">
        <v>6.41</v>
      </c>
      <c r="G98" s="9" t="s">
        <v>476</v>
      </c>
      <c r="H98" s="52"/>
    </row>
    <row r="99" spans="1:8" ht="15" customHeight="1" x14ac:dyDescent="0.25">
      <c r="A99" s="8" t="s">
        <v>154</v>
      </c>
      <c r="B99" s="8" t="s">
        <v>534</v>
      </c>
      <c r="C99" s="8" t="s">
        <v>532</v>
      </c>
      <c r="D99" s="8">
        <v>4</v>
      </c>
      <c r="E99" s="8">
        <v>6.41</v>
      </c>
      <c r="F99" s="8">
        <v>6.41</v>
      </c>
      <c r="G99" s="9" t="s">
        <v>476</v>
      </c>
      <c r="H99" s="52"/>
    </row>
    <row r="100" spans="1:8" ht="15" customHeight="1" x14ac:dyDescent="0.25">
      <c r="A100" s="8" t="s">
        <v>55</v>
      </c>
      <c r="B100" s="8" t="s">
        <v>535</v>
      </c>
      <c r="C100" s="8" t="s">
        <v>536</v>
      </c>
      <c r="D100" s="8">
        <v>8</v>
      </c>
      <c r="E100" s="8">
        <v>26.46</v>
      </c>
      <c r="F100" s="8">
        <v>26.46</v>
      </c>
      <c r="G100" s="10" t="s">
        <v>537</v>
      </c>
      <c r="H100" s="52"/>
    </row>
    <row r="101" spans="1:8" ht="15" customHeight="1" x14ac:dyDescent="0.25">
      <c r="A101" s="8" t="s">
        <v>175</v>
      </c>
      <c r="B101" s="8" t="s">
        <v>538</v>
      </c>
      <c r="C101" s="8" t="s">
        <v>536</v>
      </c>
      <c r="D101" s="8">
        <v>8</v>
      </c>
      <c r="E101" s="8">
        <v>26.46</v>
      </c>
      <c r="F101" s="8">
        <v>26.46</v>
      </c>
      <c r="G101" s="10" t="s">
        <v>537</v>
      </c>
      <c r="H101" s="52"/>
    </row>
    <row r="102" spans="1:8" ht="15" customHeight="1" x14ac:dyDescent="0.25">
      <c r="A102" s="8" t="s">
        <v>181</v>
      </c>
      <c r="B102" s="8" t="s">
        <v>539</v>
      </c>
      <c r="C102" s="8" t="s">
        <v>536</v>
      </c>
      <c r="D102" s="8">
        <v>8</v>
      </c>
      <c r="E102" s="8">
        <v>26.46</v>
      </c>
      <c r="F102" s="8">
        <v>26.46</v>
      </c>
      <c r="G102" s="10" t="s">
        <v>537</v>
      </c>
      <c r="H102" s="52"/>
    </row>
    <row r="103" spans="1:8" ht="15" customHeight="1" x14ac:dyDescent="0.25">
      <c r="A103" s="8" t="s">
        <v>182</v>
      </c>
      <c r="B103" s="8" t="s">
        <v>540</v>
      </c>
      <c r="C103" s="8" t="s">
        <v>536</v>
      </c>
      <c r="D103" s="8">
        <v>8</v>
      </c>
      <c r="E103" s="8">
        <v>26.46</v>
      </c>
      <c r="F103" s="8">
        <v>26.46</v>
      </c>
      <c r="G103" s="10" t="s">
        <v>537</v>
      </c>
      <c r="H103" s="52"/>
    </row>
    <row r="104" spans="1:8" ht="15" customHeight="1" x14ac:dyDescent="0.25">
      <c r="A104" s="8" t="s">
        <v>172</v>
      </c>
      <c r="B104" s="8" t="s">
        <v>541</v>
      </c>
      <c r="C104" s="8" t="s">
        <v>542</v>
      </c>
      <c r="D104" s="8">
        <v>7</v>
      </c>
      <c r="E104" s="8">
        <v>23.52</v>
      </c>
      <c r="F104" s="8">
        <v>23.52</v>
      </c>
      <c r="G104" s="10" t="s">
        <v>537</v>
      </c>
      <c r="H104" s="52"/>
    </row>
    <row r="105" spans="1:8" ht="15" customHeight="1" x14ac:dyDescent="0.25">
      <c r="A105" s="8" t="s">
        <v>174</v>
      </c>
      <c r="B105" s="8" t="s">
        <v>543</v>
      </c>
      <c r="C105" s="8" t="s">
        <v>542</v>
      </c>
      <c r="D105" s="8">
        <v>7</v>
      </c>
      <c r="E105" s="8">
        <v>23.52</v>
      </c>
      <c r="F105" s="8">
        <v>23.52</v>
      </c>
      <c r="G105" s="10" t="s">
        <v>537</v>
      </c>
      <c r="H105" s="52"/>
    </row>
    <row r="106" spans="1:8" ht="15" customHeight="1" x14ac:dyDescent="0.25">
      <c r="A106" s="8" t="s">
        <v>54</v>
      </c>
      <c r="B106" s="8" t="s">
        <v>544</v>
      </c>
      <c r="C106" s="8" t="s">
        <v>542</v>
      </c>
      <c r="D106" s="8">
        <v>7</v>
      </c>
      <c r="E106" s="8">
        <v>23.52</v>
      </c>
      <c r="F106" s="8">
        <v>23.52</v>
      </c>
      <c r="G106" s="10" t="s">
        <v>537</v>
      </c>
      <c r="H106" s="52"/>
    </row>
    <row r="107" spans="1:8" ht="15" customHeight="1" x14ac:dyDescent="0.25">
      <c r="A107" s="8" t="s">
        <v>62</v>
      </c>
      <c r="B107" s="8" t="s">
        <v>545</v>
      </c>
      <c r="C107" s="8" t="s">
        <v>542</v>
      </c>
      <c r="D107" s="8">
        <v>7</v>
      </c>
      <c r="E107" s="8">
        <v>23.52</v>
      </c>
      <c r="F107" s="8">
        <v>23.52</v>
      </c>
      <c r="G107" s="10" t="s">
        <v>537</v>
      </c>
      <c r="H107" s="52"/>
    </row>
    <row r="108" spans="1:8" ht="15" customHeight="1" x14ac:dyDescent="0.25">
      <c r="A108" s="8" t="s">
        <v>59</v>
      </c>
      <c r="B108" s="8" t="s">
        <v>546</v>
      </c>
      <c r="C108" s="8" t="s">
        <v>542</v>
      </c>
      <c r="D108" s="8">
        <v>7</v>
      </c>
      <c r="E108" s="8">
        <v>23.52</v>
      </c>
      <c r="F108" s="8">
        <v>23.52</v>
      </c>
      <c r="G108" s="10" t="s">
        <v>537</v>
      </c>
      <c r="H108" s="52"/>
    </row>
    <row r="109" spans="1:8" ht="15" customHeight="1" x14ac:dyDescent="0.25">
      <c r="A109" s="8" t="s">
        <v>176</v>
      </c>
      <c r="B109" s="8" t="s">
        <v>547</v>
      </c>
      <c r="C109" s="8" t="s">
        <v>542</v>
      </c>
      <c r="D109" s="8">
        <v>7</v>
      </c>
      <c r="E109" s="8">
        <v>23.52</v>
      </c>
      <c r="F109" s="8">
        <v>23.52</v>
      </c>
      <c r="G109" s="10" t="s">
        <v>537</v>
      </c>
      <c r="H109" s="52"/>
    </row>
    <row r="110" spans="1:8" ht="15" customHeight="1" x14ac:dyDescent="0.25">
      <c r="A110" s="8" t="s">
        <v>177</v>
      </c>
      <c r="B110" s="8" t="s">
        <v>548</v>
      </c>
      <c r="C110" s="8" t="s">
        <v>542</v>
      </c>
      <c r="D110" s="8">
        <v>7</v>
      </c>
      <c r="E110" s="8">
        <v>23.52</v>
      </c>
      <c r="F110" s="8">
        <v>23.52</v>
      </c>
      <c r="G110" s="10" t="s">
        <v>537</v>
      </c>
      <c r="H110" s="52"/>
    </row>
    <row r="111" spans="1:8" ht="15" customHeight="1" x14ac:dyDescent="0.25">
      <c r="A111" s="8" t="s">
        <v>178</v>
      </c>
      <c r="B111" s="8" t="s">
        <v>549</v>
      </c>
      <c r="C111" s="8" t="s">
        <v>542</v>
      </c>
      <c r="D111" s="8">
        <v>7</v>
      </c>
      <c r="E111" s="8">
        <v>23.52</v>
      </c>
      <c r="F111" s="8">
        <v>23.52</v>
      </c>
      <c r="G111" s="10" t="s">
        <v>537</v>
      </c>
      <c r="H111" s="52"/>
    </row>
    <row r="112" spans="1:8" ht="15" customHeight="1" x14ac:dyDescent="0.25">
      <c r="A112" s="8" t="s">
        <v>179</v>
      </c>
      <c r="B112" s="8" t="s">
        <v>550</v>
      </c>
      <c r="C112" s="8" t="s">
        <v>542</v>
      </c>
      <c r="D112" s="8">
        <v>7</v>
      </c>
      <c r="E112" s="8">
        <v>23.52</v>
      </c>
      <c r="F112" s="8">
        <v>23.52</v>
      </c>
      <c r="G112" s="10" t="s">
        <v>537</v>
      </c>
      <c r="H112" s="52"/>
    </row>
    <row r="113" spans="1:8" ht="15" customHeight="1" x14ac:dyDescent="0.25">
      <c r="A113" s="8" t="s">
        <v>61</v>
      </c>
      <c r="B113" s="8" t="s">
        <v>551</v>
      </c>
      <c r="C113" s="8" t="s">
        <v>542</v>
      </c>
      <c r="D113" s="8">
        <v>7</v>
      </c>
      <c r="E113" s="8">
        <v>23.52</v>
      </c>
      <c r="F113" s="8">
        <v>23.52</v>
      </c>
      <c r="G113" s="10" t="s">
        <v>537</v>
      </c>
      <c r="H113" s="52"/>
    </row>
    <row r="114" spans="1:8" ht="15" customHeight="1" x14ac:dyDescent="0.25">
      <c r="A114" s="8" t="s">
        <v>180</v>
      </c>
      <c r="B114" s="8" t="s">
        <v>552</v>
      </c>
      <c r="C114" s="8" t="s">
        <v>542</v>
      </c>
      <c r="D114" s="8">
        <v>7</v>
      </c>
      <c r="E114" s="8">
        <v>23.52</v>
      </c>
      <c r="F114" s="8">
        <v>23.52</v>
      </c>
      <c r="G114" s="10" t="s">
        <v>537</v>
      </c>
      <c r="H114" s="52"/>
    </row>
    <row r="115" spans="1:8" ht="15" customHeight="1" x14ac:dyDescent="0.25">
      <c r="A115" s="8" t="s">
        <v>183</v>
      </c>
      <c r="B115" s="8" t="s">
        <v>553</v>
      </c>
      <c r="C115" s="8" t="s">
        <v>542</v>
      </c>
      <c r="D115" s="8">
        <v>7</v>
      </c>
      <c r="E115" s="8">
        <v>23.52</v>
      </c>
      <c r="F115" s="8">
        <v>23.52</v>
      </c>
      <c r="G115" s="10" t="s">
        <v>537</v>
      </c>
      <c r="H115" s="52"/>
    </row>
    <row r="116" spans="1:8" ht="15" customHeight="1" x14ac:dyDescent="0.25">
      <c r="A116" s="8" t="s">
        <v>184</v>
      </c>
      <c r="B116" s="8" t="s">
        <v>554</v>
      </c>
      <c r="C116" s="8" t="s">
        <v>542</v>
      </c>
      <c r="D116" s="8">
        <v>7</v>
      </c>
      <c r="E116" s="8">
        <v>23.52</v>
      </c>
      <c r="F116" s="8">
        <v>23.52</v>
      </c>
      <c r="G116" s="10" t="s">
        <v>537</v>
      </c>
      <c r="H116" s="52"/>
    </row>
    <row r="117" spans="1:8" ht="15" customHeight="1" x14ac:dyDescent="0.25">
      <c r="A117" s="8" t="s">
        <v>185</v>
      </c>
      <c r="B117" s="8" t="s">
        <v>555</v>
      </c>
      <c r="C117" s="8" t="s">
        <v>542</v>
      </c>
      <c r="D117" s="8">
        <v>7</v>
      </c>
      <c r="E117" s="8">
        <v>23.52</v>
      </c>
      <c r="F117" s="8">
        <v>23.52</v>
      </c>
      <c r="G117" s="10" t="s">
        <v>537</v>
      </c>
      <c r="H117" s="52"/>
    </row>
    <row r="118" spans="1:8" ht="15" customHeight="1" x14ac:dyDescent="0.25">
      <c r="A118" s="16"/>
      <c r="B118" s="16"/>
      <c r="C118" s="16"/>
      <c r="D118" s="16"/>
      <c r="E118" s="16"/>
      <c r="F118" s="16"/>
      <c r="G118" s="16"/>
      <c r="H118" s="16"/>
    </row>
    <row r="119" spans="1:8" ht="15" customHeight="1" x14ac:dyDescent="0.25">
      <c r="A119" s="3" t="s">
        <v>556</v>
      </c>
      <c r="B119" s="16"/>
      <c r="C119" s="16"/>
      <c r="D119" s="16"/>
      <c r="E119" s="16"/>
      <c r="F119" s="16"/>
      <c r="G119" s="16"/>
      <c r="H119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4"/>
  <sheetViews>
    <sheetView zoomScaleNormal="100" workbookViewId="0"/>
  </sheetViews>
  <sheetFormatPr defaultColWidth="8.7109375" defaultRowHeight="15" x14ac:dyDescent="0.25"/>
  <sheetData>
    <row r="1" spans="1:1" ht="15" customHeight="1" x14ac:dyDescent="0.25">
      <c r="A1" s="3" t="s">
        <v>557</v>
      </c>
    </row>
    <row r="2" spans="1:1" ht="15" customHeight="1" x14ac:dyDescent="0.25">
      <c r="A2" s="1" t="s">
        <v>129</v>
      </c>
    </row>
    <row r="3" spans="1:1" ht="15" customHeight="1" x14ac:dyDescent="0.25">
      <c r="A3" s="1" t="s">
        <v>95</v>
      </c>
    </row>
    <row r="4" spans="1:1" ht="15" customHeight="1" x14ac:dyDescent="0.25">
      <c r="A4" s="1" t="s">
        <v>99</v>
      </c>
    </row>
    <row r="5" spans="1:1" ht="15" customHeight="1" x14ac:dyDescent="0.25">
      <c r="A5" s="1" t="s">
        <v>30</v>
      </c>
    </row>
    <row r="6" spans="1:1" ht="15" customHeight="1" x14ac:dyDescent="0.25">
      <c r="A6" s="1" t="s">
        <v>101</v>
      </c>
    </row>
    <row r="7" spans="1:1" ht="15" customHeight="1" x14ac:dyDescent="0.25">
      <c r="A7" s="1" t="s">
        <v>103</v>
      </c>
    </row>
    <row r="8" spans="1:1" ht="15" customHeight="1" x14ac:dyDescent="0.25">
      <c r="A8" s="1" t="s">
        <v>44</v>
      </c>
    </row>
    <row r="9" spans="1:1" ht="15" customHeight="1" x14ac:dyDescent="0.25">
      <c r="A9" s="1" t="s">
        <v>34</v>
      </c>
    </row>
    <row r="10" spans="1:1" ht="15" customHeight="1" x14ac:dyDescent="0.25">
      <c r="A10" s="1" t="s">
        <v>104</v>
      </c>
    </row>
    <row r="11" spans="1:1" ht="15" customHeight="1" x14ac:dyDescent="0.25">
      <c r="A11" s="1" t="s">
        <v>37</v>
      </c>
    </row>
    <row r="12" spans="1:1" ht="15" customHeight="1" x14ac:dyDescent="0.25">
      <c r="A12" s="1" t="s">
        <v>47</v>
      </c>
    </row>
    <row r="13" spans="1:1" ht="15" customHeight="1" x14ac:dyDescent="0.25">
      <c r="A13" s="1" t="s">
        <v>48</v>
      </c>
    </row>
    <row r="14" spans="1:1" ht="15" customHeight="1" x14ac:dyDescent="0.25">
      <c r="A14" s="1" t="s">
        <v>105</v>
      </c>
    </row>
    <row r="15" spans="1:1" ht="15" customHeight="1" x14ac:dyDescent="0.25">
      <c r="A15" s="1" t="s">
        <v>33</v>
      </c>
    </row>
    <row r="16" spans="1:1" ht="15" customHeight="1" x14ac:dyDescent="0.25">
      <c r="A16" s="1" t="s">
        <v>45</v>
      </c>
    </row>
    <row r="17" spans="1:1" ht="15" customHeight="1" x14ac:dyDescent="0.25">
      <c r="A17" s="1" t="s">
        <v>49</v>
      </c>
    </row>
    <row r="18" spans="1:1" ht="15" customHeight="1" x14ac:dyDescent="0.25">
      <c r="A18" s="1" t="s">
        <v>31</v>
      </c>
    </row>
    <row r="19" spans="1:1" ht="15" customHeight="1" x14ac:dyDescent="0.25">
      <c r="A19" s="1" t="s">
        <v>106</v>
      </c>
    </row>
    <row r="20" spans="1:1" ht="15" customHeight="1" x14ac:dyDescent="0.25">
      <c r="A20" s="1" t="s">
        <v>46</v>
      </c>
    </row>
    <row r="21" spans="1:1" ht="15" customHeight="1" x14ac:dyDescent="0.25">
      <c r="A21" s="1" t="s">
        <v>107</v>
      </c>
    </row>
    <row r="22" spans="1:1" ht="15" customHeight="1" x14ac:dyDescent="0.25">
      <c r="A22" s="1" t="s">
        <v>108</v>
      </c>
    </row>
    <row r="23" spans="1:1" ht="15" customHeight="1" x14ac:dyDescent="0.25">
      <c r="A23" s="1" t="s">
        <v>109</v>
      </c>
    </row>
    <row r="24" spans="1:1" ht="15" customHeight="1" x14ac:dyDescent="0.25">
      <c r="A24" s="1" t="s">
        <v>110</v>
      </c>
    </row>
    <row r="25" spans="1:1" ht="15" customHeight="1" x14ac:dyDescent="0.25">
      <c r="A25" s="1" t="s">
        <v>111</v>
      </c>
    </row>
    <row r="26" spans="1:1" ht="15" customHeight="1" x14ac:dyDescent="0.25">
      <c r="A26" s="1" t="s">
        <v>40</v>
      </c>
    </row>
    <row r="27" spans="1:1" ht="15" customHeight="1" x14ac:dyDescent="0.25">
      <c r="A27" s="1" t="s">
        <v>41</v>
      </c>
    </row>
    <row r="28" spans="1:1" ht="15" customHeight="1" x14ac:dyDescent="0.25">
      <c r="A28" s="1" t="s">
        <v>39</v>
      </c>
    </row>
    <row r="29" spans="1:1" ht="15" customHeight="1" x14ac:dyDescent="0.25">
      <c r="A29" s="1" t="s">
        <v>36</v>
      </c>
    </row>
    <row r="30" spans="1:1" ht="15" customHeight="1" x14ac:dyDescent="0.25">
      <c r="A30" s="1" t="s">
        <v>112</v>
      </c>
    </row>
    <row r="31" spans="1:1" ht="15" customHeight="1" x14ac:dyDescent="0.25">
      <c r="A31" s="1" t="s">
        <v>113</v>
      </c>
    </row>
    <row r="32" spans="1:1" ht="15" customHeight="1" x14ac:dyDescent="0.25">
      <c r="A32" s="1" t="s">
        <v>114</v>
      </c>
    </row>
    <row r="33" spans="1:1" ht="15" customHeight="1" x14ac:dyDescent="0.25">
      <c r="A33" s="1" t="s">
        <v>115</v>
      </c>
    </row>
    <row r="34" spans="1:1" ht="15" customHeight="1" x14ac:dyDescent="0.25">
      <c r="A34" s="1" t="s">
        <v>116</v>
      </c>
    </row>
    <row r="35" spans="1:1" ht="15" customHeight="1" x14ac:dyDescent="0.25">
      <c r="A35" s="1" t="s">
        <v>38</v>
      </c>
    </row>
    <row r="36" spans="1:1" ht="15" customHeight="1" x14ac:dyDescent="0.25">
      <c r="A36" s="1" t="s">
        <v>117</v>
      </c>
    </row>
    <row r="37" spans="1:1" ht="15" customHeight="1" x14ac:dyDescent="0.25">
      <c r="A37" s="1" t="s">
        <v>131</v>
      </c>
    </row>
    <row r="38" spans="1:1" ht="15" customHeight="1" x14ac:dyDescent="0.25">
      <c r="A38" s="1" t="s">
        <v>132</v>
      </c>
    </row>
    <row r="39" spans="1:1" ht="15" customHeight="1" x14ac:dyDescent="0.25">
      <c r="A39" s="1" t="s">
        <v>133</v>
      </c>
    </row>
    <row r="40" spans="1:1" ht="15" customHeight="1" x14ac:dyDescent="0.25">
      <c r="A40" s="1" t="s">
        <v>134</v>
      </c>
    </row>
    <row r="41" spans="1:1" ht="15" customHeight="1" x14ac:dyDescent="0.25">
      <c r="A41" s="1" t="s">
        <v>135</v>
      </c>
    </row>
    <row r="42" spans="1:1" ht="15" customHeight="1" x14ac:dyDescent="0.25">
      <c r="A42" s="1" t="s">
        <v>136</v>
      </c>
    </row>
    <row r="43" spans="1:1" ht="15" customHeight="1" x14ac:dyDescent="0.25">
      <c r="A43" s="1" t="s">
        <v>137</v>
      </c>
    </row>
    <row r="44" spans="1:1" ht="15" customHeight="1" x14ac:dyDescent="0.25">
      <c r="A44" s="1" t="s">
        <v>138</v>
      </c>
    </row>
    <row r="45" spans="1:1" ht="15" customHeight="1" x14ac:dyDescent="0.25">
      <c r="A45" s="1" t="s">
        <v>51</v>
      </c>
    </row>
    <row r="46" spans="1:1" ht="15" customHeight="1" x14ac:dyDescent="0.25">
      <c r="A46" s="1" t="s">
        <v>139</v>
      </c>
    </row>
    <row r="47" spans="1:1" ht="15" customHeight="1" x14ac:dyDescent="0.25">
      <c r="A47" s="1" t="s">
        <v>140</v>
      </c>
    </row>
    <row r="48" spans="1:1" ht="15" customHeight="1" x14ac:dyDescent="0.25">
      <c r="A48" s="1" t="s">
        <v>141</v>
      </c>
    </row>
    <row r="49" spans="1:1" ht="15" customHeight="1" x14ac:dyDescent="0.25">
      <c r="A49" s="1" t="s">
        <v>142</v>
      </c>
    </row>
    <row r="50" spans="1:1" ht="15" customHeight="1" x14ac:dyDescent="0.25">
      <c r="A50" s="1" t="s">
        <v>143</v>
      </c>
    </row>
    <row r="51" spans="1:1" ht="15" customHeight="1" x14ac:dyDescent="0.25">
      <c r="A51" s="1" t="s">
        <v>144</v>
      </c>
    </row>
    <row r="52" spans="1:1" ht="15" customHeight="1" x14ac:dyDescent="0.25">
      <c r="A52" s="1" t="s">
        <v>145</v>
      </c>
    </row>
    <row r="53" spans="1:1" ht="15" customHeight="1" x14ac:dyDescent="0.25">
      <c r="A53" s="1" t="s">
        <v>146</v>
      </c>
    </row>
    <row r="54" spans="1:1" ht="15" customHeight="1" x14ac:dyDescent="0.25">
      <c r="A54" s="1" t="s">
        <v>147</v>
      </c>
    </row>
    <row r="55" spans="1:1" ht="15" customHeight="1" x14ac:dyDescent="0.25">
      <c r="A55" s="1" t="s">
        <v>148</v>
      </c>
    </row>
    <row r="56" spans="1:1" ht="15" customHeight="1" x14ac:dyDescent="0.25">
      <c r="A56" s="1" t="s">
        <v>149</v>
      </c>
    </row>
    <row r="57" spans="1:1" ht="15" customHeight="1" x14ac:dyDescent="0.25">
      <c r="A57" s="1" t="s">
        <v>150</v>
      </c>
    </row>
    <row r="58" spans="1:1" ht="15" customHeight="1" x14ac:dyDescent="0.25">
      <c r="A58" s="1" t="s">
        <v>151</v>
      </c>
    </row>
    <row r="59" spans="1:1" ht="15" customHeight="1" x14ac:dyDescent="0.25">
      <c r="A59" s="1" t="s">
        <v>152</v>
      </c>
    </row>
    <row r="60" spans="1:1" ht="15" customHeight="1" x14ac:dyDescent="0.25">
      <c r="A60" s="1" t="s">
        <v>153</v>
      </c>
    </row>
    <row r="61" spans="1:1" ht="15" customHeight="1" x14ac:dyDescent="0.25">
      <c r="A61" s="1" t="s">
        <v>172</v>
      </c>
    </row>
    <row r="62" spans="1:1" ht="15" customHeight="1" x14ac:dyDescent="0.25">
      <c r="A62" s="1" t="s">
        <v>174</v>
      </c>
    </row>
    <row r="63" spans="1:1" ht="15" customHeight="1" x14ac:dyDescent="0.25">
      <c r="A63" s="1" t="s">
        <v>54</v>
      </c>
    </row>
    <row r="64" spans="1:1" ht="15" customHeight="1" x14ac:dyDescent="0.25">
      <c r="A64" s="1" t="s">
        <v>62</v>
      </c>
    </row>
    <row r="65" spans="1:1" ht="15" customHeight="1" x14ac:dyDescent="0.25">
      <c r="A65" s="1" t="s">
        <v>55</v>
      </c>
    </row>
    <row r="66" spans="1:1" ht="15" customHeight="1" x14ac:dyDescent="0.25">
      <c r="A66" s="1" t="s">
        <v>175</v>
      </c>
    </row>
    <row r="67" spans="1:1" ht="15" customHeight="1" x14ac:dyDescent="0.25">
      <c r="A67" s="1" t="s">
        <v>118</v>
      </c>
    </row>
    <row r="68" spans="1:1" ht="15" customHeight="1" x14ac:dyDescent="0.25">
      <c r="A68" s="1" t="s">
        <v>119</v>
      </c>
    </row>
    <row r="69" spans="1:1" ht="15" customHeight="1" x14ac:dyDescent="0.25">
      <c r="A69" s="1" t="s">
        <v>120</v>
      </c>
    </row>
    <row r="70" spans="1:1" ht="15" customHeight="1" x14ac:dyDescent="0.25">
      <c r="A70" s="1" t="s">
        <v>121</v>
      </c>
    </row>
    <row r="71" spans="1:1" ht="15" customHeight="1" x14ac:dyDescent="0.25">
      <c r="A71" s="1" t="s">
        <v>122</v>
      </c>
    </row>
    <row r="72" spans="1:1" ht="15" customHeight="1" x14ac:dyDescent="0.25">
      <c r="A72" s="1" t="s">
        <v>123</v>
      </c>
    </row>
    <row r="73" spans="1:1" ht="15" customHeight="1" x14ac:dyDescent="0.25">
      <c r="A73" s="1" t="s">
        <v>154</v>
      </c>
    </row>
    <row r="74" spans="1:1" ht="15" customHeight="1" x14ac:dyDescent="0.25">
      <c r="A74" s="1" t="s">
        <v>155</v>
      </c>
    </row>
    <row r="75" spans="1:1" ht="15" customHeight="1" x14ac:dyDescent="0.25">
      <c r="A75" s="1" t="s">
        <v>156</v>
      </c>
    </row>
    <row r="76" spans="1:1" ht="15" customHeight="1" x14ac:dyDescent="0.25">
      <c r="A76" s="1" t="s">
        <v>52</v>
      </c>
    </row>
    <row r="77" spans="1:1" ht="15" customHeight="1" x14ac:dyDescent="0.25">
      <c r="A77" s="1" t="s">
        <v>157</v>
      </c>
    </row>
    <row r="78" spans="1:1" ht="15" customHeight="1" x14ac:dyDescent="0.25">
      <c r="A78" s="1" t="s">
        <v>57</v>
      </c>
    </row>
    <row r="79" spans="1:1" ht="15" customHeight="1" x14ac:dyDescent="0.25">
      <c r="A79" s="1" t="s">
        <v>56</v>
      </c>
    </row>
    <row r="80" spans="1:1" ht="15" customHeight="1" x14ac:dyDescent="0.25">
      <c r="A80" s="1" t="s">
        <v>158</v>
      </c>
    </row>
    <row r="81" spans="1:1" ht="15" customHeight="1" x14ac:dyDescent="0.25">
      <c r="A81" s="1" t="s">
        <v>159</v>
      </c>
    </row>
    <row r="82" spans="1:1" ht="15" customHeight="1" x14ac:dyDescent="0.25">
      <c r="A82" s="1" t="s">
        <v>58</v>
      </c>
    </row>
    <row r="83" spans="1:1" ht="15" customHeight="1" x14ac:dyDescent="0.25">
      <c r="A83" s="1" t="s">
        <v>160</v>
      </c>
    </row>
    <row r="84" spans="1:1" ht="15" customHeight="1" x14ac:dyDescent="0.25">
      <c r="A84" s="1" t="s">
        <v>59</v>
      </c>
    </row>
    <row r="85" spans="1:1" ht="15" customHeight="1" x14ac:dyDescent="0.25">
      <c r="A85" s="1" t="s">
        <v>176</v>
      </c>
    </row>
    <row r="86" spans="1:1" ht="15" customHeight="1" x14ac:dyDescent="0.25">
      <c r="A86" s="1" t="s">
        <v>177</v>
      </c>
    </row>
    <row r="87" spans="1:1" ht="15" customHeight="1" x14ac:dyDescent="0.25">
      <c r="A87" s="1" t="s">
        <v>178</v>
      </c>
    </row>
    <row r="88" spans="1:1" ht="15" customHeight="1" x14ac:dyDescent="0.25">
      <c r="A88" s="1" t="s">
        <v>179</v>
      </c>
    </row>
    <row r="89" spans="1:1" ht="15" customHeight="1" x14ac:dyDescent="0.25">
      <c r="A89" s="1" t="s">
        <v>61</v>
      </c>
    </row>
    <row r="90" spans="1:1" ht="15" customHeight="1" x14ac:dyDescent="0.25">
      <c r="A90" s="1" t="s">
        <v>180</v>
      </c>
    </row>
    <row r="91" spans="1:1" ht="15" customHeight="1" x14ac:dyDescent="0.25">
      <c r="A91" s="1" t="s">
        <v>181</v>
      </c>
    </row>
    <row r="92" spans="1:1" ht="15" customHeight="1" x14ac:dyDescent="0.25">
      <c r="A92" s="1" t="s">
        <v>182</v>
      </c>
    </row>
    <row r="93" spans="1:1" ht="15" customHeight="1" x14ac:dyDescent="0.25">
      <c r="A93" s="1" t="s">
        <v>124</v>
      </c>
    </row>
    <row r="94" spans="1:1" ht="15" customHeight="1" x14ac:dyDescent="0.25">
      <c r="A94" s="1" t="s">
        <v>161</v>
      </c>
    </row>
    <row r="95" spans="1:1" ht="15" customHeight="1" x14ac:dyDescent="0.25">
      <c r="A95" s="1" t="s">
        <v>162</v>
      </c>
    </row>
    <row r="96" spans="1:1" ht="15" customHeight="1" x14ac:dyDescent="0.25">
      <c r="A96" s="1" t="s">
        <v>163</v>
      </c>
    </row>
    <row r="97" spans="1:1" ht="15" customHeight="1" x14ac:dyDescent="0.25">
      <c r="A97" s="1" t="s">
        <v>164</v>
      </c>
    </row>
    <row r="98" spans="1:1" ht="15" customHeight="1" x14ac:dyDescent="0.25">
      <c r="A98" s="1" t="s">
        <v>60</v>
      </c>
    </row>
    <row r="99" spans="1:1" ht="15" customHeight="1" x14ac:dyDescent="0.25">
      <c r="A99" s="1" t="s">
        <v>183</v>
      </c>
    </row>
    <row r="100" spans="1:1" ht="15" customHeight="1" x14ac:dyDescent="0.25">
      <c r="A100" s="1" t="s">
        <v>165</v>
      </c>
    </row>
    <row r="101" spans="1:1" ht="15" customHeight="1" x14ac:dyDescent="0.25">
      <c r="A101" s="1" t="s">
        <v>125</v>
      </c>
    </row>
    <row r="102" spans="1:1" ht="15" customHeight="1" x14ac:dyDescent="0.25">
      <c r="A102" s="1" t="s">
        <v>126</v>
      </c>
    </row>
    <row r="103" spans="1:1" ht="15" customHeight="1" x14ac:dyDescent="0.25">
      <c r="A103" s="1" t="s">
        <v>127</v>
      </c>
    </row>
    <row r="104" spans="1:1" ht="15" customHeight="1" x14ac:dyDescent="0.25">
      <c r="A104" s="1" t="s">
        <v>32</v>
      </c>
    </row>
    <row r="105" spans="1:1" ht="15" customHeight="1" x14ac:dyDescent="0.25">
      <c r="A105" s="1" t="s">
        <v>167</v>
      </c>
    </row>
    <row r="106" spans="1:1" ht="15" customHeight="1" x14ac:dyDescent="0.25">
      <c r="A106" s="1" t="s">
        <v>168</v>
      </c>
    </row>
    <row r="107" spans="1:1" ht="15" customHeight="1" x14ac:dyDescent="0.25">
      <c r="A107" s="1" t="s">
        <v>53</v>
      </c>
    </row>
    <row r="108" spans="1:1" ht="15" customHeight="1" x14ac:dyDescent="0.25">
      <c r="A108" s="1" t="s">
        <v>169</v>
      </c>
    </row>
    <row r="109" spans="1:1" ht="15" customHeight="1" x14ac:dyDescent="0.25">
      <c r="A109" s="1" t="s">
        <v>184</v>
      </c>
    </row>
    <row r="110" spans="1:1" ht="15" customHeight="1" x14ac:dyDescent="0.25">
      <c r="A110" s="1" t="s">
        <v>185</v>
      </c>
    </row>
    <row r="111" spans="1:1" ht="15" customHeight="1" x14ac:dyDescent="0.25">
      <c r="A111" s="1" t="s">
        <v>170</v>
      </c>
    </row>
    <row r="112" spans="1:1" ht="15" customHeight="1" x14ac:dyDescent="0.25">
      <c r="A112" s="1" t="s">
        <v>171</v>
      </c>
    </row>
    <row r="113" spans="1:1" ht="15" customHeight="1" x14ac:dyDescent="0.25">
      <c r="A113" s="1" t="s">
        <v>35</v>
      </c>
    </row>
    <row r="114" spans="1:1" ht="15" customHeight="1" x14ac:dyDescent="0.25">
      <c r="A114" s="1" t="s">
        <v>186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LEIA-ME</vt:lpstr>
      <vt:lpstr>Resumo</vt:lpstr>
      <vt:lpstr>Simulador</vt:lpstr>
      <vt:lpstr>Registro_Vendas</vt:lpstr>
      <vt:lpstr>Livro_Vendas</vt:lpstr>
      <vt:lpstr>Novo_Produto</vt:lpstr>
      <vt:lpstr>Ref_Frete</vt:lpstr>
      <vt:lpstr>Classificação_Frete</vt:lpstr>
      <vt:lpstr>Listas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Usuário do Windows</cp:lastModifiedBy>
  <cp:revision>0</cp:revision>
  <dcterms:created xsi:type="dcterms:W3CDTF">2026-07-23T20:01:56Z</dcterms:created>
  <dcterms:modified xsi:type="dcterms:W3CDTF">2026-09-30T14:23:12Z</dcterms:modified>
  <dc:language>en-US</dc:language>
</cp:coreProperties>
</file>